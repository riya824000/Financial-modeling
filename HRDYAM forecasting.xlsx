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4b1986632ce55/Desktop/HRDYAM/DOCs/"/>
    </mc:Choice>
  </mc:AlternateContent>
  <xr:revisionPtr revIDLastSave="41" documentId="13_ncr:1_{B7E84A32-2043-462A-BD66-CEB3DD7E6727}" xr6:coauthVersionLast="47" xr6:coauthVersionMax="47" xr10:uidLastSave="{BB3369C1-1982-4B60-9975-C67D4C7CD6FF}"/>
  <bookViews>
    <workbookView xWindow="-120" yWindow="-120" windowWidth="20730" windowHeight="11760" firstSheet="5" activeTab="8" xr2:uid="{3810E975-4D55-4664-837A-90789393E76E}"/>
  </bookViews>
  <sheets>
    <sheet name="Income Statement" sheetId="1" r:id="rId1"/>
    <sheet name="Balance Sheet" sheetId="12" r:id="rId2"/>
    <sheet name="Cash Flow" sheetId="13" r:id="rId3"/>
    <sheet name="Reserves" sheetId="14" r:id="rId4"/>
    <sheet name="Revene &amp; Cost Sheet" sheetId="11" r:id="rId5"/>
    <sheet name="Fixed Asset Schedule" sheetId="16" r:id="rId6"/>
    <sheet name="Financial Assumptions" sheetId="18" r:id="rId7"/>
    <sheet name="Working Capital" sheetId="19" r:id="rId8"/>
    <sheet name="Operating Assumtions" sheetId="2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2" l="1"/>
  <c r="F27" i="12"/>
  <c r="G27" i="12"/>
  <c r="H27" i="12"/>
  <c r="D27" i="12"/>
  <c r="O10" i="20" l="1"/>
  <c r="O9" i="20"/>
  <c r="O8" i="20"/>
  <c r="E11" i="11"/>
  <c r="F11" i="11"/>
  <c r="G11" i="11"/>
  <c r="H11" i="11"/>
  <c r="I11" i="11"/>
  <c r="D11" i="11"/>
  <c r="E40" i="11"/>
  <c r="F40" i="11"/>
  <c r="G40" i="11"/>
  <c r="H40" i="11"/>
  <c r="I40" i="11"/>
  <c r="D40" i="11"/>
  <c r="D20" i="11"/>
  <c r="D21" i="11"/>
  <c r="E20" i="11" l="1"/>
  <c r="F20" i="11" s="1"/>
  <c r="G20" i="11" s="1"/>
  <c r="H20" i="11" s="1"/>
  <c r="I20" i="11" s="1"/>
  <c r="O7" i="20"/>
  <c r="O6" i="20"/>
  <c r="B3" i="20"/>
  <c r="B3" i="19"/>
  <c r="B3" i="18"/>
  <c r="B3" i="16"/>
  <c r="B3" i="11"/>
  <c r="B3" i="14"/>
  <c r="B3" i="13"/>
  <c r="B3" i="12"/>
  <c r="E6" i="19"/>
  <c r="E30" i="12" s="1"/>
  <c r="F6" i="19"/>
  <c r="F30" i="12" s="1"/>
  <c r="G6" i="19"/>
  <c r="G30" i="12" s="1"/>
  <c r="H6" i="19"/>
  <c r="H30" i="12" s="1"/>
  <c r="D6" i="19"/>
  <c r="D30" i="12" s="1"/>
  <c r="D12" i="13" s="1"/>
  <c r="E17" i="12"/>
  <c r="F17" i="12"/>
  <c r="F22" i="13" s="1"/>
  <c r="G17" i="12"/>
  <c r="H17" i="12"/>
  <c r="D17" i="12"/>
  <c r="E8" i="12"/>
  <c r="F8" i="12"/>
  <c r="G8" i="12"/>
  <c r="H8" i="12"/>
  <c r="D8" i="12"/>
  <c r="G22" i="13"/>
  <c r="H22" i="13"/>
  <c r="E22" i="13"/>
  <c r="E21" i="13"/>
  <c r="F21" i="13"/>
  <c r="G21" i="13"/>
  <c r="H21" i="13"/>
  <c r="D24" i="13"/>
  <c r="D22" i="13"/>
  <c r="D21" i="13"/>
  <c r="E18" i="13"/>
  <c r="F18" i="13"/>
  <c r="G18" i="13"/>
  <c r="H18" i="13"/>
  <c r="D18" i="13"/>
  <c r="D17" i="13"/>
  <c r="E8" i="13"/>
  <c r="F8" i="13"/>
  <c r="G8" i="13"/>
  <c r="H8" i="13"/>
  <c r="D8" i="13"/>
  <c r="E7" i="13"/>
  <c r="F7" i="13"/>
  <c r="G7" i="13"/>
  <c r="H7" i="13"/>
  <c r="D7" i="13"/>
  <c r="D39" i="11"/>
  <c r="D38" i="11"/>
  <c r="D10" i="1" s="1"/>
  <c r="D13" i="19" s="1"/>
  <c r="E34" i="11"/>
  <c r="F34" i="11"/>
  <c r="G34" i="11"/>
  <c r="H34" i="11"/>
  <c r="I34" i="11"/>
  <c r="D34" i="11"/>
  <c r="E31" i="11"/>
  <c r="F31" i="11"/>
  <c r="G31" i="11"/>
  <c r="H31" i="11"/>
  <c r="I31" i="11"/>
  <c r="E30" i="11"/>
  <c r="F30" i="11" s="1"/>
  <c r="G30" i="11" s="1"/>
  <c r="H30" i="11" s="1"/>
  <c r="I30" i="11" s="1"/>
  <c r="E29" i="11"/>
  <c r="F29" i="11" s="1"/>
  <c r="G29" i="11" s="1"/>
  <c r="H29" i="11" s="1"/>
  <c r="I29" i="11" s="1"/>
  <c r="E28" i="11"/>
  <c r="F28" i="11" s="1"/>
  <c r="G28" i="11" s="1"/>
  <c r="H28" i="11" s="1"/>
  <c r="I28" i="11" s="1"/>
  <c r="E27" i="11"/>
  <c r="F27" i="11" s="1"/>
  <c r="G27" i="11" s="1"/>
  <c r="H27" i="11" s="1"/>
  <c r="I27" i="11" s="1"/>
  <c r="E26" i="11"/>
  <c r="E25" i="11"/>
  <c r="F25" i="11" s="1"/>
  <c r="G25" i="11" s="1"/>
  <c r="E24" i="11"/>
  <c r="D31" i="11"/>
  <c r="E21" i="11"/>
  <c r="F21" i="11" s="1"/>
  <c r="G21" i="11" s="1"/>
  <c r="H21" i="11" s="1"/>
  <c r="I21" i="11" s="1"/>
  <c r="E19" i="11"/>
  <c r="F19" i="11"/>
  <c r="G19" i="11"/>
  <c r="H19" i="11"/>
  <c r="I19" i="11"/>
  <c r="D19" i="11"/>
  <c r="E18" i="11"/>
  <c r="F18" i="11"/>
  <c r="G18" i="11"/>
  <c r="H18" i="11"/>
  <c r="I18" i="11"/>
  <c r="D18" i="11"/>
  <c r="E17" i="11"/>
  <c r="E22" i="11" s="1"/>
  <c r="F17" i="11"/>
  <c r="F22" i="11" s="1"/>
  <c r="G17" i="11"/>
  <c r="H17" i="11"/>
  <c r="I17" i="11"/>
  <c r="D17" i="11"/>
  <c r="E16" i="11"/>
  <c r="F16" i="11"/>
  <c r="G16" i="11"/>
  <c r="H16" i="11"/>
  <c r="I16" i="11"/>
  <c r="D16" i="11"/>
  <c r="E22" i="16"/>
  <c r="F22" i="16" s="1"/>
  <c r="G22" i="16" s="1"/>
  <c r="H22" i="16" s="1"/>
  <c r="D22" i="16"/>
  <c r="D21" i="16"/>
  <c r="D27" i="16" s="1"/>
  <c r="D20" i="16"/>
  <c r="D23" i="16" s="1"/>
  <c r="E17" i="16"/>
  <c r="F17" i="16"/>
  <c r="G17" i="16"/>
  <c r="H17" i="16"/>
  <c r="D17" i="16"/>
  <c r="D9" i="16"/>
  <c r="D28" i="16" s="1"/>
  <c r="D26" i="12" s="1"/>
  <c r="G8" i="16"/>
  <c r="H8" i="16" s="1"/>
  <c r="E8" i="16"/>
  <c r="D7" i="16"/>
  <c r="E7" i="16" s="1"/>
  <c r="D44" i="18"/>
  <c r="D43" i="18"/>
  <c r="D31" i="18"/>
  <c r="D30" i="18"/>
  <c r="D29" i="18"/>
  <c r="D27" i="18"/>
  <c r="D26" i="18"/>
  <c r="D24" i="18"/>
  <c r="D21" i="18"/>
  <c r="D5" i="18"/>
  <c r="E21" i="19"/>
  <c r="F21" i="19"/>
  <c r="G21" i="19"/>
  <c r="H21" i="19"/>
  <c r="D21" i="19"/>
  <c r="E20" i="19"/>
  <c r="F20" i="19"/>
  <c r="G20" i="19"/>
  <c r="H20" i="19"/>
  <c r="D20" i="19"/>
  <c r="E7" i="1"/>
  <c r="F7" i="1"/>
  <c r="G7" i="1"/>
  <c r="H7" i="1"/>
  <c r="I7" i="1"/>
  <c r="D7" i="1"/>
  <c r="B6" i="1"/>
  <c r="F35" i="11" l="1"/>
  <c r="F36" i="11"/>
  <c r="E35" i="11"/>
  <c r="E36" i="11"/>
  <c r="F26" i="11"/>
  <c r="F32" i="11" s="1"/>
  <c r="E32" i="11"/>
  <c r="I22" i="11"/>
  <c r="I35" i="11"/>
  <c r="I11" i="1" s="1"/>
  <c r="H35" i="11"/>
  <c r="H11" i="1" s="1"/>
  <c r="H14" i="19" s="1"/>
  <c r="D22" i="11"/>
  <c r="D35" i="11"/>
  <c r="D11" i="1" s="1"/>
  <c r="D14" i="19" s="1"/>
  <c r="D36" i="11"/>
  <c r="H22" i="11"/>
  <c r="G22" i="11"/>
  <c r="D12" i="1"/>
  <c r="D32" i="11"/>
  <c r="G35" i="11"/>
  <c r="G11" i="1" s="1"/>
  <c r="G14" i="19" s="1"/>
  <c r="G36" i="11"/>
  <c r="E20" i="16"/>
  <c r="F20" i="16" s="1"/>
  <c r="E9" i="16"/>
  <c r="F9" i="16" s="1"/>
  <c r="G9" i="16" s="1"/>
  <c r="E26" i="16"/>
  <c r="E10" i="16"/>
  <c r="F7" i="16"/>
  <c r="G20" i="16"/>
  <c r="D10" i="16"/>
  <c r="D26" i="16"/>
  <c r="E21" i="16"/>
  <c r="F21" i="16" s="1"/>
  <c r="E28" i="16"/>
  <c r="E26" i="12" s="1"/>
  <c r="E39" i="11"/>
  <c r="E38" i="11"/>
  <c r="E10" i="1" s="1"/>
  <c r="E13" i="19" s="1"/>
  <c r="F24" i="11"/>
  <c r="F12" i="1" s="1"/>
  <c r="D8" i="1"/>
  <c r="D11" i="19" s="1"/>
  <c r="G12" i="13"/>
  <c r="H12" i="13"/>
  <c r="G26" i="11"/>
  <c r="E12" i="13"/>
  <c r="F12" i="13"/>
  <c r="I8" i="1"/>
  <c r="F11" i="1"/>
  <c r="F14" i="19" s="1"/>
  <c r="E11" i="1"/>
  <c r="E14" i="19" s="1"/>
  <c r="H25" i="11"/>
  <c r="E12" i="1"/>
  <c r="H26" i="11" l="1"/>
  <c r="G32" i="11"/>
  <c r="H36" i="11"/>
  <c r="I36" i="11"/>
  <c r="F28" i="16"/>
  <c r="F26" i="12" s="1"/>
  <c r="F23" i="16"/>
  <c r="H20" i="16"/>
  <c r="G7" i="16"/>
  <c r="F10" i="16"/>
  <c r="F26" i="16"/>
  <c r="H9" i="16"/>
  <c r="H28" i="16" s="1"/>
  <c r="H26" i="12" s="1"/>
  <c r="G28" i="16"/>
  <c r="G26" i="12" s="1"/>
  <c r="G21" i="16"/>
  <c r="F27" i="16"/>
  <c r="D29" i="16"/>
  <c r="D25" i="12"/>
  <c r="E23" i="16"/>
  <c r="E27" i="16"/>
  <c r="E25" i="12" s="1"/>
  <c r="G24" i="11"/>
  <c r="F39" i="11"/>
  <c r="F38" i="11"/>
  <c r="F10" i="1" s="1"/>
  <c r="F13" i="19" s="1"/>
  <c r="D9" i="1"/>
  <c r="D13" i="1" s="1"/>
  <c r="D15" i="1" s="1"/>
  <c r="D18" i="1" s="1"/>
  <c r="G8" i="1"/>
  <c r="G11" i="19" s="1"/>
  <c r="H8" i="1"/>
  <c r="H11" i="19" s="1"/>
  <c r="F8" i="1"/>
  <c r="F11" i="19" s="1"/>
  <c r="E8" i="1"/>
  <c r="E11" i="19" s="1"/>
  <c r="I25" i="11"/>
  <c r="I26" i="11" l="1"/>
  <c r="I32" i="11" s="1"/>
  <c r="D44" i="11" s="1"/>
  <c r="D45" i="11" s="1"/>
  <c r="H32" i="11"/>
  <c r="F29" i="16"/>
  <c r="F25" i="12"/>
  <c r="H7" i="16"/>
  <c r="G26" i="16"/>
  <c r="G10" i="16"/>
  <c r="E29" i="16"/>
  <c r="H21" i="16"/>
  <c r="H27" i="16" s="1"/>
  <c r="G27" i="16"/>
  <c r="G23" i="16"/>
  <c r="D12" i="19"/>
  <c r="D15" i="19" s="1"/>
  <c r="D16" i="12" s="1"/>
  <c r="G38" i="11"/>
  <c r="G39" i="11"/>
  <c r="H24" i="11"/>
  <c r="G12" i="1"/>
  <c r="F9" i="1"/>
  <c r="F13" i="1" s="1"/>
  <c r="F15" i="1" s="1"/>
  <c r="D17" i="1"/>
  <c r="D19" i="1" s="1"/>
  <c r="E9" i="1"/>
  <c r="I9" i="1"/>
  <c r="H9" i="1"/>
  <c r="G9" i="1"/>
  <c r="G25" i="12" l="1"/>
  <c r="G29" i="16"/>
  <c r="H26" i="16"/>
  <c r="H10" i="16"/>
  <c r="H23" i="16"/>
  <c r="D17" i="19"/>
  <c r="D19" i="19" s="1"/>
  <c r="D23" i="19" s="1"/>
  <c r="D18" i="12" s="1"/>
  <c r="D23" i="13" s="1"/>
  <c r="D25" i="13" s="1"/>
  <c r="F12" i="19"/>
  <c r="F15" i="19" s="1"/>
  <c r="F16" i="12" s="1"/>
  <c r="H38" i="11"/>
  <c r="H39" i="11"/>
  <c r="I24" i="11"/>
  <c r="H12" i="1"/>
  <c r="G10" i="1"/>
  <c r="G13" i="19" s="1"/>
  <c r="D6" i="13"/>
  <c r="D11" i="13" s="1"/>
  <c r="D7" i="14"/>
  <c r="D8" i="14" s="1"/>
  <c r="D13" i="13"/>
  <c r="F17" i="1"/>
  <c r="F18" i="1"/>
  <c r="E13" i="1"/>
  <c r="E15" i="1" s="1"/>
  <c r="E18" i="1" s="1"/>
  <c r="E12" i="19"/>
  <c r="E15" i="19" s="1"/>
  <c r="G12" i="19"/>
  <c r="H12" i="19"/>
  <c r="F17" i="19" l="1"/>
  <c r="F19" i="19" s="1"/>
  <c r="F23" i="19" s="1"/>
  <c r="F18" i="12" s="1"/>
  <c r="H25" i="12"/>
  <c r="H29" i="16"/>
  <c r="D19" i="12"/>
  <c r="H10" i="1"/>
  <c r="H13" i="19" s="1"/>
  <c r="H15" i="19"/>
  <c r="H17" i="19" s="1"/>
  <c r="H19" i="19" s="1"/>
  <c r="H23" i="19" s="1"/>
  <c r="H18" i="12" s="1"/>
  <c r="I38" i="11"/>
  <c r="I39" i="11"/>
  <c r="I12" i="1"/>
  <c r="G15" i="19"/>
  <c r="G16" i="12" s="1"/>
  <c r="G13" i="1"/>
  <c r="G15" i="1" s="1"/>
  <c r="G17" i="1" s="1"/>
  <c r="E17" i="19"/>
  <c r="E19" i="19" s="1"/>
  <c r="E23" i="19" s="1"/>
  <c r="E18" i="12" s="1"/>
  <c r="E23" i="13" s="1"/>
  <c r="E25" i="13" s="1"/>
  <c r="E16" i="12"/>
  <c r="F13" i="13" s="1"/>
  <c r="D14" i="13"/>
  <c r="D27" i="13" s="1"/>
  <c r="D29" i="13" s="1"/>
  <c r="D9" i="12"/>
  <c r="D10" i="12" s="1"/>
  <c r="D20" i="12" s="1"/>
  <c r="E6" i="14"/>
  <c r="F19" i="12"/>
  <c r="F19" i="1"/>
  <c r="E17" i="1"/>
  <c r="E19" i="1" s="1"/>
  <c r="H16" i="12" l="1"/>
  <c r="H13" i="1"/>
  <c r="H15" i="1" s="1"/>
  <c r="G18" i="1"/>
  <c r="G19" i="1" s="1"/>
  <c r="G17" i="19"/>
  <c r="G19" i="19" s="1"/>
  <c r="G23" i="19" s="1"/>
  <c r="G18" i="12" s="1"/>
  <c r="G23" i="13" s="1"/>
  <c r="G25" i="13" s="1"/>
  <c r="F23" i="13"/>
  <c r="F25" i="13" s="1"/>
  <c r="I10" i="1"/>
  <c r="I13" i="1" s="1"/>
  <c r="I15" i="1" s="1"/>
  <c r="F7" i="14"/>
  <c r="F6" i="13"/>
  <c r="F11" i="13" s="1"/>
  <c r="F14" i="13" s="1"/>
  <c r="E28" i="13"/>
  <c r="D32" i="12"/>
  <c r="D33" i="12" s="1"/>
  <c r="D34" i="12" s="1"/>
  <c r="E7" i="14"/>
  <c r="E8" i="14" s="1"/>
  <c r="E6" i="13"/>
  <c r="E11" i="13" s="1"/>
  <c r="E19" i="12"/>
  <c r="E13" i="13"/>
  <c r="G13" i="13"/>
  <c r="H13" i="13"/>
  <c r="H19" i="12"/>
  <c r="F27" i="13" l="1"/>
  <c r="H23" i="13"/>
  <c r="H25" i="13" s="1"/>
  <c r="E14" i="13"/>
  <c r="E27" i="13" s="1"/>
  <c r="E29" i="13" s="1"/>
  <c r="G19" i="12"/>
  <c r="H18" i="1"/>
  <c r="H17" i="1"/>
  <c r="I18" i="1"/>
  <c r="I17" i="1"/>
  <c r="E9" i="12"/>
  <c r="E10" i="12" s="1"/>
  <c r="E20" i="12" s="1"/>
  <c r="F6" i="14"/>
  <c r="F8" i="14" s="1"/>
  <c r="G6" i="13"/>
  <c r="G11" i="13" s="1"/>
  <c r="G14" i="13" s="1"/>
  <c r="G27" i="13" s="1"/>
  <c r="G7" i="14"/>
  <c r="H19" i="1" l="1"/>
  <c r="I19" i="1"/>
  <c r="G6" i="14"/>
  <c r="G8" i="14" s="1"/>
  <c r="F9" i="12"/>
  <c r="F10" i="12" s="1"/>
  <c r="F20" i="12" s="1"/>
  <c r="F28" i="13"/>
  <c r="F29" i="13" s="1"/>
  <c r="E32" i="12"/>
  <c r="E33" i="12" s="1"/>
  <c r="E34" i="12" s="1"/>
  <c r="H7" i="14" l="1"/>
  <c r="H6" i="13"/>
  <c r="H11" i="13" s="1"/>
  <c r="H14" i="13" s="1"/>
  <c r="H27" i="13" s="1"/>
  <c r="G28" i="13"/>
  <c r="G29" i="13" s="1"/>
  <c r="F32" i="12"/>
  <c r="F33" i="12" s="1"/>
  <c r="F34" i="12" s="1"/>
  <c r="H6" i="14"/>
  <c r="G9" i="12"/>
  <c r="G10" i="12" s="1"/>
  <c r="G20" i="12" s="1"/>
  <c r="H8" i="14" l="1"/>
  <c r="H9" i="12" s="1"/>
  <c r="H10" i="12" s="1"/>
  <c r="H20" i="12" s="1"/>
  <c r="G32" i="12"/>
  <c r="G33" i="12" s="1"/>
  <c r="G34" i="12" s="1"/>
  <c r="H28" i="13"/>
  <c r="H29" i="13" s="1"/>
  <c r="H32" i="12" s="1"/>
  <c r="H33" i="12" s="1"/>
  <c r="H34" i="12" s="1"/>
</calcChain>
</file>

<file path=xl/sharedStrings.xml><?xml version="1.0" encoding="utf-8"?>
<sst xmlns="http://schemas.openxmlformats.org/spreadsheetml/2006/main" count="284" uniqueCount="241">
  <si>
    <t>INR (Crores)</t>
  </si>
  <si>
    <t>Revenue</t>
  </si>
  <si>
    <t>COGS</t>
  </si>
  <si>
    <t>Employee benefit expenses</t>
  </si>
  <si>
    <t>Selling expenses</t>
  </si>
  <si>
    <t>Administrative expenses</t>
  </si>
  <si>
    <t>EBITDA</t>
  </si>
  <si>
    <t>Depreceiation</t>
  </si>
  <si>
    <t>EBT</t>
  </si>
  <si>
    <t>Tax</t>
  </si>
  <si>
    <t>Interest (Finance cost)</t>
  </si>
  <si>
    <t>PAT</t>
  </si>
  <si>
    <t>Retreats</t>
  </si>
  <si>
    <t>Services (Rituals)</t>
  </si>
  <si>
    <t>Paid Webinars</t>
  </si>
  <si>
    <t>AstroTourism</t>
  </si>
  <si>
    <t>Merchandise</t>
  </si>
  <si>
    <t>Corporate Vaastu</t>
  </si>
  <si>
    <t>Gross profit</t>
  </si>
  <si>
    <t>Capex</t>
  </si>
  <si>
    <t>Office furniture &amp; fixtures</t>
  </si>
  <si>
    <t>Opex</t>
  </si>
  <si>
    <t>WC</t>
  </si>
  <si>
    <t>Travel, Recruitment, Merchandise</t>
  </si>
  <si>
    <t>Misc</t>
  </si>
  <si>
    <t>Equity</t>
  </si>
  <si>
    <t>Total Equity</t>
  </si>
  <si>
    <t>Y1 funding</t>
  </si>
  <si>
    <t>Softwares</t>
  </si>
  <si>
    <t>Vehicles</t>
  </si>
  <si>
    <t>Inverter</t>
  </si>
  <si>
    <t>Airconditioners</t>
  </si>
  <si>
    <t>Trademark</t>
  </si>
  <si>
    <t>Moratorium</t>
  </si>
  <si>
    <t>Years</t>
  </si>
  <si>
    <t>Moratorium in Quarters</t>
  </si>
  <si>
    <t>Qtrs</t>
  </si>
  <si>
    <t>Repayment</t>
  </si>
  <si>
    <t>No.</t>
  </si>
  <si>
    <t>Commission to Astrologers</t>
  </si>
  <si>
    <t>Commission to Retreats</t>
  </si>
  <si>
    <t>Commission to Services</t>
  </si>
  <si>
    <t>Legal and Professional Expense</t>
  </si>
  <si>
    <t>IT Cost</t>
  </si>
  <si>
    <t>Salaries &amp; Admin</t>
  </si>
  <si>
    <t>Founder &amp; Management Salaries</t>
  </si>
  <si>
    <t>Auditor Fees</t>
  </si>
  <si>
    <t>Insurance expense</t>
  </si>
  <si>
    <t>Power and Fuel</t>
  </si>
  <si>
    <t>Travel &amp; Conveyances</t>
  </si>
  <si>
    <t>Office Rent &amp; Expenditures</t>
  </si>
  <si>
    <t>Marketing</t>
  </si>
  <si>
    <t>Business Promotion/Digital Mark</t>
  </si>
  <si>
    <t>Content Development/Creation</t>
  </si>
  <si>
    <t>HR</t>
  </si>
  <si>
    <t>HR (Recruitment Expenses)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</si>
  <si>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</si>
  <si>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</si>
  <si>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</si>
  <si>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</si>
  <si>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</si>
  <si>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</si>
  <si>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</si>
  <si>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</si>
  <si>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</si>
  <si>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</si>
  <si>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</si>
  <si>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</si>
  <si>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Average</t>
  </si>
  <si>
    <t>Min/day</t>
  </si>
  <si>
    <t>Days/mon</t>
  </si>
  <si>
    <t>Growth Rate</t>
  </si>
  <si>
    <t>Inventory</t>
  </si>
  <si>
    <t>Bracelets</t>
  </si>
  <si>
    <t>Yantra</t>
  </si>
  <si>
    <t>Rudraksh</t>
  </si>
  <si>
    <t>Crystal</t>
  </si>
  <si>
    <t>GST</t>
  </si>
  <si>
    <t>Laptops/Computers</t>
  </si>
  <si>
    <t>Total</t>
  </si>
  <si>
    <t>EBIT</t>
  </si>
  <si>
    <t>HRDYAM</t>
  </si>
  <si>
    <t>Spiritual tourism</t>
  </si>
  <si>
    <t xml:space="preserve">Puja </t>
  </si>
  <si>
    <t>Wellness</t>
  </si>
  <si>
    <t>REVENUE</t>
  </si>
  <si>
    <t>EXPENSES</t>
  </si>
  <si>
    <t>Direct cost</t>
  </si>
  <si>
    <t>Insurance Expense</t>
  </si>
  <si>
    <t>Payment Gateway Charges</t>
  </si>
  <si>
    <t>Employee Benefits (EPF, Gratuity, etc.)</t>
  </si>
  <si>
    <t>EQUITY &amp; LIABILITIES</t>
  </si>
  <si>
    <t>Shareholders' funds</t>
  </si>
  <si>
    <t>Share Capital</t>
  </si>
  <si>
    <t>Reserves</t>
  </si>
  <si>
    <t>Shareholders' Equity</t>
  </si>
  <si>
    <t>Non-Current Liabilities</t>
  </si>
  <si>
    <t>Long term Borrowings</t>
  </si>
  <si>
    <t>Current Liabilities</t>
  </si>
  <si>
    <t>Trade Payables</t>
  </si>
  <si>
    <t>Working Capital Loan</t>
  </si>
  <si>
    <t>Promoter Working Capital Margin Infusion</t>
  </si>
  <si>
    <t>Total Current Liabilities</t>
  </si>
  <si>
    <t>TOTAL EQUITY &amp; LIABILITIES</t>
  </si>
  <si>
    <t>ASSETS</t>
  </si>
  <si>
    <t>Non Current Assets</t>
  </si>
  <si>
    <t>Property, plant and equipment</t>
  </si>
  <si>
    <t>Tangible Assets</t>
  </si>
  <si>
    <t>Intangible assets</t>
  </si>
  <si>
    <t>Current Assets</t>
  </si>
  <si>
    <t>Inventories</t>
  </si>
  <si>
    <t>Trade Receivables</t>
  </si>
  <si>
    <t>Cash and Cash Equivalents</t>
  </si>
  <si>
    <t>Total current assets</t>
  </si>
  <si>
    <t>TOTAL ASSETS</t>
  </si>
  <si>
    <t>NET INCOME</t>
  </si>
  <si>
    <t>Depreciation</t>
  </si>
  <si>
    <t>Finance Cost</t>
  </si>
  <si>
    <t>Pre-operative expenses written off</t>
  </si>
  <si>
    <t>Profit/loss on sale of fixed assets</t>
  </si>
  <si>
    <t>Cash from Operations</t>
  </si>
  <si>
    <t>Payables</t>
  </si>
  <si>
    <t>Preliminary and Pre-operative expenses</t>
  </si>
  <si>
    <t>Investment in assets</t>
  </si>
  <si>
    <t>Cash (used in/from) Investing activities</t>
  </si>
  <si>
    <t>Proceeds from/Repayment of term loans</t>
  </si>
  <si>
    <t>Interest expense on loan &amp; working capital</t>
  </si>
  <si>
    <t>Proceeds from working capital loan</t>
  </si>
  <si>
    <t>Proceeds from working capital margin</t>
  </si>
  <si>
    <t>Equity contribution</t>
  </si>
  <si>
    <t>Cash from Financing activites</t>
  </si>
  <si>
    <t>Cash from Operating activites</t>
  </si>
  <si>
    <t>Net cash flows during the year</t>
  </si>
  <si>
    <t>Opening Balance at the beginning of the year</t>
  </si>
  <si>
    <t>Closing Balance at the end of the year</t>
  </si>
  <si>
    <t>Opening balance at the beginning</t>
  </si>
  <si>
    <t>Profit/Loss for the year</t>
  </si>
  <si>
    <t>Closing balance at the year end</t>
  </si>
  <si>
    <t>Gross Block</t>
  </si>
  <si>
    <t>Furniture and fixtures</t>
  </si>
  <si>
    <t>IT infrastructure</t>
  </si>
  <si>
    <t>Depreciation (on straight line depreciation basis)</t>
  </si>
  <si>
    <t>for laptops</t>
  </si>
  <si>
    <t>Accumulated depreciation</t>
  </si>
  <si>
    <t>Net Block</t>
  </si>
  <si>
    <t>TOTAL INVESTMENT REQUIRED</t>
  </si>
  <si>
    <t>Tech development and app</t>
  </si>
  <si>
    <t>Software/subscriptions</t>
  </si>
  <si>
    <t>Contingency</t>
  </si>
  <si>
    <t>Rental/lease</t>
  </si>
  <si>
    <t>Preliminary &amp; Pre-operative expenses</t>
  </si>
  <si>
    <t>Working capital requirement</t>
  </si>
  <si>
    <t>Salaries for the year</t>
  </si>
  <si>
    <t>Marketing expenses</t>
  </si>
  <si>
    <t>Fees (Legal, Auditor, Payment gatway)</t>
  </si>
  <si>
    <t>Cumulative funds deployed</t>
  </si>
  <si>
    <t>Financing structure</t>
  </si>
  <si>
    <t>LT loan</t>
  </si>
  <si>
    <t>Seed funding</t>
  </si>
  <si>
    <t>Total funding</t>
  </si>
  <si>
    <t>Y0 funding</t>
  </si>
  <si>
    <t>Tangible &amp; intangible assets</t>
  </si>
  <si>
    <t>Office furniture</t>
  </si>
  <si>
    <t>Computers/laptops</t>
  </si>
  <si>
    <t>Generator</t>
  </si>
  <si>
    <t>Others (mobile for testing, printer, intercom, time office etc.)</t>
  </si>
  <si>
    <t>Interest Rte on Term Loan</t>
  </si>
  <si>
    <t>No. of Quarterly instalments</t>
  </si>
  <si>
    <t>APP/website/MVP development</t>
  </si>
  <si>
    <t>Services</t>
  </si>
  <si>
    <t>Net Payables</t>
  </si>
  <si>
    <t>Net Working Capital</t>
  </si>
  <si>
    <t>Working Capital Margin</t>
  </si>
  <si>
    <t>Interest on working capital loan</t>
  </si>
  <si>
    <t>Working Capital Margin Infusion</t>
  </si>
  <si>
    <t>Online consultation</t>
  </si>
  <si>
    <t>Live sessions</t>
  </si>
  <si>
    <t>Micro Services (FreeAd)</t>
  </si>
  <si>
    <t>Astro Vaastu (Ind.)</t>
  </si>
  <si>
    <t>Subscription</t>
  </si>
  <si>
    <t>Coporate</t>
  </si>
  <si>
    <t>Offline fee</t>
  </si>
  <si>
    <t>Retreat/Yoga</t>
  </si>
  <si>
    <t>No. of batches/Year</t>
  </si>
  <si>
    <t>Person/ Batch</t>
  </si>
  <si>
    <t>Commission sharing'Growth rate</t>
  </si>
  <si>
    <t>Paid webinar</t>
  </si>
  <si>
    <t>No. of webinars</t>
  </si>
  <si>
    <t xml:space="preserve"> Payables</t>
  </si>
  <si>
    <t>COST</t>
  </si>
  <si>
    <t>payables to astrologers</t>
  </si>
  <si>
    <t>payables to services</t>
  </si>
  <si>
    <t>payables to retreats</t>
  </si>
  <si>
    <t>Commission to services</t>
  </si>
  <si>
    <t>Commission to retreats</t>
  </si>
  <si>
    <t>Legal and professional expense</t>
  </si>
  <si>
    <t>IT cost</t>
  </si>
  <si>
    <t>Salaries &amp; admin</t>
  </si>
  <si>
    <t>Auditor fees</t>
  </si>
  <si>
    <t>Travel &amp; conveyances</t>
  </si>
  <si>
    <t>Office rent &amp; expenditures</t>
  </si>
  <si>
    <t>Payment gateway charges</t>
  </si>
  <si>
    <t>Misc.</t>
  </si>
  <si>
    <t>Business promotion</t>
  </si>
  <si>
    <t>content development</t>
  </si>
  <si>
    <t>Salary</t>
  </si>
  <si>
    <t>Inflation growth rate</t>
  </si>
  <si>
    <t>directors</t>
  </si>
  <si>
    <t>Taxes</t>
  </si>
  <si>
    <t>surcharge</t>
  </si>
  <si>
    <t>income tax</t>
  </si>
  <si>
    <t>education cess</t>
  </si>
  <si>
    <t>effective income tax rate</t>
  </si>
  <si>
    <t>Income tax rate</t>
  </si>
  <si>
    <t>Misc (repair/ main / CSR/ postage)</t>
  </si>
  <si>
    <t>Rs./min</t>
  </si>
  <si>
    <t>No. of person/batch</t>
  </si>
  <si>
    <t>Amount</t>
  </si>
  <si>
    <t>Merchandise COGS%</t>
  </si>
  <si>
    <t xml:space="preserve">Marketing % of Total Revenue </t>
  </si>
  <si>
    <t>Total Tangible Assets</t>
  </si>
  <si>
    <t>Total Intangible Assets</t>
  </si>
  <si>
    <t>Merchandise Store</t>
  </si>
  <si>
    <t>Astrology</t>
  </si>
  <si>
    <t>from 3rd year= 50L</t>
  </si>
  <si>
    <t>total revenue</t>
  </si>
  <si>
    <t>total expense</t>
  </si>
  <si>
    <t>these are the profit after tax</t>
  </si>
  <si>
    <t>same depreciation amount every year</t>
  </si>
  <si>
    <t>IT m software already 1.8</t>
  </si>
  <si>
    <t>Depreciation amount have to check</t>
  </si>
  <si>
    <t>founder &amp; Management Salaries</t>
  </si>
  <si>
    <t>monthly expense is around 26 lakh</t>
  </si>
  <si>
    <t>reserve is the amount that company keep to itself (it is not profit)</t>
  </si>
  <si>
    <t>profit after tax</t>
  </si>
  <si>
    <t>growth mostly 50% and above h early</t>
  </si>
  <si>
    <t>CAGR 57% k around h</t>
  </si>
  <si>
    <t>dono bohot zyada h 20% se</t>
  </si>
  <si>
    <t>reasonable because first 3 years loss m h that is normal in a startup</t>
  </si>
  <si>
    <t>tables are not important for pre-seed or seed funding</t>
  </si>
  <si>
    <t>if keeping it then amount should change in peak seasons instead of 2x monthly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</si>
</sst>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"/>
  </numFmts>
  <fonts count="8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Times New Roman"/>
      <family val="1"/>
    </font>
    <font>
      <sz val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0" fontId="4" fillId="0" borderId="0" applyNumberFormat="0" applyFont="0" applyFill="0" applyBorder="0" applyAlignment="0" applyProtection="0"/>
    <xf numFmtId="44" fontId="6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0" fillId="3" borderId="0" xfId="0" applyFill="1"/>
    <xf numFmtId="2" fontId="0" fillId="0" borderId="0" xfId="0" applyNumberFormat="1"/>
    <xf numFmtId="2" fontId="0" fillId="0" borderId="0" xfId="0" applyNumberFormat="1" applyAlignment="1">
      <alignment horizontal="left" indent="3"/>
    </xf>
    <xf numFmtId="0" fontId="0" fillId="0" borderId="10" xfId="0" applyBorder="1"/>
    <xf numFmtId="0" fontId="2" fillId="0" borderId="4" xfId="0" applyFont="1" applyBorder="1"/>
    <xf numFmtId="2" fontId="2" fillId="0" borderId="4" xfId="0" applyNumberFormat="1" applyFont="1" applyBorder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9" xfId="0" applyBorder="1"/>
    <xf numFmtId="0" fontId="2" fillId="0" borderId="6" xfId="0" applyFont="1" applyBorder="1"/>
    <xf numFmtId="0" fontId="2" fillId="0" borderId="8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43" fontId="0" fillId="0" borderId="0" xfId="2" applyNumberFormat="1" applyFont="1"/>
    <xf numFmtId="43" fontId="0" fillId="0" borderId="0" xfId="0" applyNumberFormat="1"/>
    <xf numFmtId="164" fontId="0" fillId="0" borderId="0" xfId="0" applyNumberFormat="1"/>
    <xf numFmtId="43" fontId="2" fillId="0" borderId="0" xfId="0" applyNumberFormat="1" applyFont="1"/>
    <xf numFmtId="0" fontId="2" fillId="0" borderId="1" xfId="0" applyFont="1" applyBorder="1"/>
    <xf numFmtId="0" fontId="7" fillId="0" borderId="0" xfId="0" applyFont="1"/>
    <xf numFmtId="0" fontId="0" fillId="4" borderId="0" xfId="0" applyFill="1"/>
    <xf numFmtId="0" fontId="2" fillId="0" borderId="7" xfId="0" applyFont="1" applyBorder="1"/>
    <xf numFmtId="0" fontId="2" fillId="0" borderId="9" xfId="0" applyFont="1" applyBorder="1"/>
    <xf numFmtId="165" fontId="0" fillId="0" borderId="1" xfId="0" applyNumberFormat="1" applyBorder="1"/>
    <xf numFmtId="165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2" fontId="2" fillId="0" borderId="1" xfId="0" applyNumberFormat="1" applyFont="1" applyBorder="1"/>
    <xf numFmtId="2" fontId="2" fillId="0" borderId="0" xfId="0" applyNumberFormat="1" applyFont="1"/>
    <xf numFmtId="166" fontId="0" fillId="0" borderId="0" xfId="0" applyNumberFormat="1"/>
    <xf numFmtId="166" fontId="2" fillId="0" borderId="1" xfId="0" applyNumberFormat="1" applyFont="1" applyBorder="1"/>
    <xf numFmtId="166" fontId="0" fillId="0" borderId="4" xfId="0" applyNumberFormat="1" applyBorder="1"/>
    <xf numFmtId="166" fontId="2" fillId="0" borderId="4" xfId="0" applyNumberFormat="1" applyFon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66" fontId="7" fillId="0" borderId="0" xfId="0" applyNumberFormat="1" applyFont="1"/>
    <xf numFmtId="0" fontId="2" fillId="0" borderId="12" xfId="0" applyFont="1" applyBorder="1"/>
    <xf numFmtId="0" fontId="2" fillId="0" borderId="11" xfId="0" applyFont="1" applyBorder="1"/>
    <xf numFmtId="2" fontId="2" fillId="0" borderId="10" xfId="0" applyNumberFormat="1" applyFont="1" applyBorder="1"/>
    <xf numFmtId="2" fontId="2" fillId="4" borderId="11" xfId="0" applyNumberFormat="1" applyFont="1" applyFill="1" applyBorder="1"/>
  </cellXfs>
  <cellStyles count="3">
    <cellStyle name="******************************************" xfId="1" xr:uid="{D6373DF6-BF48-4723-AE41-6C4D34814886}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6</xdr:row>
      <xdr:rowOff>95250</xdr:rowOff>
    </xdr:from>
    <xdr:to>
      <xdr:col>8</xdr:col>
      <xdr:colOff>457200</xdr:colOff>
      <xdr:row>6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1478E06-F3BA-153F-03B3-AA70A8AF4937}"/>
            </a:ext>
          </a:extLst>
        </xdr:cNvPr>
        <xdr:cNvCxnSpPr/>
      </xdr:nvCxnSpPr>
      <xdr:spPr>
        <a:xfrm>
          <a:off x="6029325" y="1238250"/>
          <a:ext cx="3238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7</xdr:row>
      <xdr:rowOff>123825</xdr:rowOff>
    </xdr:from>
    <xdr:to>
      <xdr:col>7</xdr:col>
      <xdr:colOff>38100</xdr:colOff>
      <xdr:row>9</xdr:row>
      <xdr:rowOff>47625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4E78AC1-8E12-197D-0096-F8B291019D7B}"/>
            </a:ext>
          </a:extLst>
        </xdr:cNvPr>
        <xdr:cNvCxnSpPr/>
      </xdr:nvCxnSpPr>
      <xdr:spPr>
        <a:xfrm flipH="1">
          <a:off x="5048250" y="1457325"/>
          <a:ext cx="247650" cy="314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470899</xdr:colOff>
      <xdr:row>10</xdr:row>
      <xdr:rowOff>85618</xdr:rowOff>
    </xdr:from>
    <xdr:to>
      <xdr:col>12</xdr:col>
      <xdr:colOff>599326</xdr:colOff>
      <xdr:row>11</xdr:row>
      <xdr:rowOff>149830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D6EE7382-ECF5-1CDB-4560-D4C5AD845DF7}"/>
            </a:ext>
          </a:extLst>
        </xdr:cNvPr>
        <xdr:cNvSpPr/>
      </xdr:nvSpPr>
      <xdr:spPr>
        <a:xfrm>
          <a:off x="9664129" y="2012022"/>
          <a:ext cx="128427" cy="267555"/>
        </a:xfrm>
        <a:prstGeom prst="rightBrac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AD0D-4B05-46DF-B1BE-A4AA40D9051E}">
  <dimension ref="B3:J21"/>
  <sheetViews>
    <sheetView workbookViewId="0">
      <pane ySplit="5" topLeftCell="A6" activePane="bottomLeft" state="frozen"/>
      <selection pane="bottomLeft" activeCell="L17" sqref="L17"/>
    </sheetView>
  </sheetViews>
  <sheetFormatPr defaultRowHeight="15" outlineLevelRow="1" x14ac:dyDescent="0.25"/>
  <cols>
    <col min="1" max="1" width="1.7109375" customWidth="1"/>
    <col min="2" max="2" width="29.85546875" bestFit="1" customWidth="1"/>
    <col min="3" max="4" width="9.42578125" bestFit="1" customWidth="1"/>
    <col min="5" max="9" width="10.42578125" bestFit="1" customWidth="1"/>
  </cols>
  <sheetData>
    <row r="3" spans="2:10" x14ac:dyDescent="0.25">
      <c r="B3" s="1" t="s">
        <v>81</v>
      </c>
    </row>
    <row r="5" spans="2:10" x14ac:dyDescent="0.25">
      <c r="B5" s="2" t="s">
        <v>0</v>
      </c>
      <c r="C5" s="3"/>
      <c r="D5" s="3">
        <v>2026</v>
      </c>
      <c r="E5" s="3">
        <v>2027</v>
      </c>
      <c r="F5" s="3">
        <v>2028</v>
      </c>
      <c r="G5" s="3">
        <v>2029</v>
      </c>
      <c r="H5" s="3">
        <v>2030</v>
      </c>
      <c r="I5" s="3">
        <v>2031</v>
      </c>
    </row>
    <row r="6" spans="2:10" x14ac:dyDescent="0.25">
      <c r="B6" s="4" t="str">
        <f>"Income statement"&amp;" - "&amp;B3</f>
        <v>Income statement - HRDYAM</v>
      </c>
      <c r="C6" s="5"/>
      <c r="D6" s="5"/>
      <c r="E6" s="5"/>
      <c r="F6" s="5"/>
      <c r="G6" s="5"/>
      <c r="H6" s="5"/>
      <c r="I6" s="5"/>
    </row>
    <row r="7" spans="2:10" outlineLevel="1" x14ac:dyDescent="0.25">
      <c r="B7" s="1" t="s">
        <v>1</v>
      </c>
      <c r="C7" s="7"/>
      <c r="D7" s="7">
        <f>SUM('Revene &amp; Cost Sheet'!D6:D10)</f>
        <v>3.55</v>
      </c>
      <c r="E7" s="7">
        <f>SUM('Revene &amp; Cost Sheet'!E6:E10)</f>
        <v>5.5000000000000009</v>
      </c>
      <c r="F7" s="7">
        <f>SUM('Revene &amp; Cost Sheet'!F6:F10)</f>
        <v>9</v>
      </c>
      <c r="G7" s="7">
        <f>SUM('Revene &amp; Cost Sheet'!G6:G10)</f>
        <v>13.999999999999998</v>
      </c>
      <c r="H7" s="7">
        <f>SUM('Revene &amp; Cost Sheet'!H6:H10)</f>
        <v>22</v>
      </c>
      <c r="I7" s="7">
        <f>SUM('Revene &amp; Cost Sheet'!I6:I10)</f>
        <v>30</v>
      </c>
    </row>
    <row r="8" spans="2:10" outlineLevel="1" x14ac:dyDescent="0.25">
      <c r="B8" t="s">
        <v>2</v>
      </c>
      <c r="D8" s="7">
        <f>SUM('Revene &amp; Cost Sheet'!D16:D21)</f>
        <v>1.075</v>
      </c>
      <c r="E8" s="7">
        <f>SUM('Revene &amp; Cost Sheet'!E16:E21)</f>
        <v>1.6544999999999999</v>
      </c>
      <c r="F8" s="7">
        <f>SUM('Revene &amp; Cost Sheet'!F16:F21)</f>
        <v>2.7262</v>
      </c>
      <c r="G8" s="7">
        <f>SUM('Revene &amp; Cost Sheet'!G16:G21)</f>
        <v>4.2091699999999994</v>
      </c>
      <c r="H8" s="7">
        <f>SUM('Revene &amp; Cost Sheet'!H16:H21)</f>
        <v>6.6474869999999999</v>
      </c>
      <c r="I8" s="7">
        <f>SUM('Revene &amp; Cost Sheet'!I16:I21)</f>
        <v>9.0527356999999995</v>
      </c>
    </row>
    <row r="9" spans="2:10" outlineLevel="1" x14ac:dyDescent="0.25">
      <c r="B9" s="8" t="s">
        <v>18</v>
      </c>
      <c r="C9" s="8"/>
      <c r="D9" s="48">
        <f>D7-D8</f>
        <v>2.4749999999999996</v>
      </c>
      <c r="E9" s="48">
        <f t="shared" ref="E9:I9" si="0">E7-E8</f>
        <v>3.8455000000000013</v>
      </c>
      <c r="F9" s="48">
        <f t="shared" si="0"/>
        <v>6.2737999999999996</v>
      </c>
      <c r="G9" s="48">
        <f t="shared" si="0"/>
        <v>9.7908299999999997</v>
      </c>
      <c r="H9" s="48">
        <f t="shared" si="0"/>
        <v>15.352513</v>
      </c>
      <c r="I9" s="48">
        <f t="shared" si="0"/>
        <v>20.947264300000001</v>
      </c>
    </row>
    <row r="10" spans="2:10" outlineLevel="1" x14ac:dyDescent="0.25">
      <c r="B10" t="s">
        <v>3</v>
      </c>
      <c r="D10" s="6">
        <f>SUM('Revene &amp; Cost Sheet'!D38:D39)</f>
        <v>0.21749999999999997</v>
      </c>
      <c r="E10" s="6">
        <f>SUM('Revene &amp; Cost Sheet'!E38:E39)</f>
        <v>0.25612499999999999</v>
      </c>
      <c r="F10" s="6">
        <f>SUM('Revene &amp; Cost Sheet'!F38:F39)</f>
        <v>0.30283125</v>
      </c>
      <c r="G10" s="6">
        <f>SUM('Revene &amp; Cost Sheet'!G38:G39)</f>
        <v>0.35948156250000002</v>
      </c>
      <c r="H10" s="6">
        <f>SUM('Revene &amp; Cost Sheet'!H38:H39)</f>
        <v>0.42838870312500005</v>
      </c>
      <c r="I10" s="6">
        <f>SUM('Revene &amp; Cost Sheet'!I38:I39)</f>
        <v>0.5124263039062501</v>
      </c>
    </row>
    <row r="11" spans="2:10" outlineLevel="1" x14ac:dyDescent="0.25">
      <c r="B11" t="s">
        <v>4</v>
      </c>
      <c r="D11" s="6">
        <f>SUM('Revene &amp; Cost Sheet'!D34:D35)</f>
        <v>1.26735</v>
      </c>
      <c r="E11" s="6">
        <f>SUM('Revene &amp; Cost Sheet'!E34:E35)</f>
        <v>1.7325000000000002</v>
      </c>
      <c r="F11" s="6">
        <f>SUM('Revene &amp; Cost Sheet'!F34:F35)</f>
        <v>2.4569999999999999</v>
      </c>
      <c r="G11" s="6">
        <f>SUM('Revene &amp; Cost Sheet'!G34:G35)</f>
        <v>3.2339999999999995</v>
      </c>
      <c r="H11" s="6">
        <f>SUM('Revene &amp; Cost Sheet'!H34:H35)</f>
        <v>4.1580000000000004</v>
      </c>
      <c r="I11" s="6">
        <f>SUM('Revene &amp; Cost Sheet'!I34:I35)</f>
        <v>4.7249999999999996</v>
      </c>
    </row>
    <row r="12" spans="2:10" outlineLevel="1" x14ac:dyDescent="0.25">
      <c r="B12" t="s">
        <v>5</v>
      </c>
      <c r="D12" s="6">
        <f>SUM('Revene &amp; Cost Sheet'!D24:D31)</f>
        <v>1.671</v>
      </c>
      <c r="E12" s="6">
        <f>SUM('Revene &amp; Cost Sheet'!E24:E31)</f>
        <v>1.9824999999999999</v>
      </c>
      <c r="F12" s="6">
        <f>SUM('Revene &amp; Cost Sheet'!F24:F31)</f>
        <v>2.3803750000000008</v>
      </c>
      <c r="G12" s="6">
        <f>SUM('Revene &amp; Cost Sheet'!G24:G31)</f>
        <v>2.8761937500000001</v>
      </c>
      <c r="H12" s="6">
        <f>SUM('Revene &amp; Cost Sheet'!H24:H31)</f>
        <v>3.5155396875000005</v>
      </c>
      <c r="I12" s="6">
        <f>SUM('Revene &amp; Cost Sheet'!I24:I31)</f>
        <v>4.2577518593750012</v>
      </c>
      <c r="J12" s="6"/>
    </row>
    <row r="13" spans="2:10" outlineLevel="1" x14ac:dyDescent="0.25">
      <c r="B13" s="8" t="s">
        <v>6</v>
      </c>
      <c r="C13" s="8"/>
      <c r="D13" s="48">
        <f>D9-SUM(D10,D11,D12)</f>
        <v>-0.6808500000000004</v>
      </c>
      <c r="E13" s="48">
        <f t="shared" ref="E13:I13" si="1">E9-SUM(E10,E11,E12)</f>
        <v>-0.12562499999999854</v>
      </c>
      <c r="F13" s="48">
        <f t="shared" si="1"/>
        <v>1.1335937499999993</v>
      </c>
      <c r="G13" s="48">
        <f t="shared" si="1"/>
        <v>3.3211546875</v>
      </c>
      <c r="H13" s="48">
        <f t="shared" si="1"/>
        <v>7.2505846093749984</v>
      </c>
      <c r="I13" s="48">
        <f t="shared" si="1"/>
        <v>11.45208613671875</v>
      </c>
    </row>
    <row r="14" spans="2:10" outlineLevel="1" x14ac:dyDescent="0.25">
      <c r="B14" t="s">
        <v>7</v>
      </c>
      <c r="C14" s="12">
        <v>0.23</v>
      </c>
      <c r="D14" s="6">
        <v>0.23</v>
      </c>
      <c r="E14" s="6">
        <v>0.23</v>
      </c>
      <c r="F14" s="6">
        <v>0.23</v>
      </c>
      <c r="G14" s="6">
        <v>0.23</v>
      </c>
      <c r="H14" s="6">
        <v>0.23</v>
      </c>
      <c r="I14" s="6">
        <v>0.23</v>
      </c>
    </row>
    <row r="15" spans="2:10" outlineLevel="1" x14ac:dyDescent="0.25">
      <c r="B15" t="s">
        <v>80</v>
      </c>
      <c r="D15" s="37">
        <f>D13-D14</f>
        <v>-0.91085000000000038</v>
      </c>
      <c r="E15" s="37">
        <f t="shared" ref="E15:I15" si="2">E13-E14</f>
        <v>-0.35562499999999853</v>
      </c>
      <c r="F15" s="37">
        <f t="shared" si="2"/>
        <v>0.90359374999999931</v>
      </c>
      <c r="G15" s="37">
        <f t="shared" si="2"/>
        <v>3.0911546875</v>
      </c>
      <c r="H15" s="37">
        <f t="shared" si="2"/>
        <v>7.020584609374998</v>
      </c>
      <c r="I15" s="37">
        <f t="shared" si="2"/>
        <v>11.222086136718749</v>
      </c>
    </row>
    <row r="16" spans="2:10" outlineLevel="1" x14ac:dyDescent="0.25">
      <c r="B16" t="s">
        <v>10</v>
      </c>
      <c r="D16" s="6">
        <v>0</v>
      </c>
      <c r="E16" s="6">
        <v>0.06</v>
      </c>
      <c r="F16" s="6">
        <v>0.2</v>
      </c>
      <c r="G16" s="6">
        <v>0.47</v>
      </c>
      <c r="H16" s="6">
        <v>0.93</v>
      </c>
      <c r="I16" s="6">
        <v>1.51</v>
      </c>
    </row>
    <row r="17" spans="2:9" outlineLevel="1" x14ac:dyDescent="0.25">
      <c r="B17" s="8" t="s">
        <v>8</v>
      </c>
      <c r="C17" s="8"/>
      <c r="D17" s="48">
        <f>D15-D16</f>
        <v>-0.91085000000000038</v>
      </c>
      <c r="E17" s="48">
        <f t="shared" ref="E17:I17" si="3">E15-E16</f>
        <v>-0.41562499999999852</v>
      </c>
      <c r="F17" s="48">
        <f t="shared" si="3"/>
        <v>0.70359374999999935</v>
      </c>
      <c r="G17" s="48">
        <f t="shared" si="3"/>
        <v>2.6211546874999998</v>
      </c>
      <c r="H17" s="48">
        <f t="shared" si="3"/>
        <v>6.0905846093749982</v>
      </c>
      <c r="I17" s="48">
        <f t="shared" si="3"/>
        <v>9.7120861367187494</v>
      </c>
    </row>
    <row r="18" spans="2:9" s="1" customFormat="1" outlineLevel="1" x14ac:dyDescent="0.25">
      <c r="B18" t="s">
        <v>9</v>
      </c>
      <c r="C18" s="11">
        <v>0.34599999999999997</v>
      </c>
      <c r="D18" s="6">
        <f>IF(D15&lt;0,0,D15*$C$18)</f>
        <v>0</v>
      </c>
      <c r="E18" s="6">
        <f t="shared" ref="E18:I18" si="4">IF(E15&lt;0,0,E15*$C$18)</f>
        <v>0</v>
      </c>
      <c r="F18" s="6">
        <f t="shared" si="4"/>
        <v>0.31264343749999973</v>
      </c>
      <c r="G18" s="6">
        <f t="shared" si="4"/>
        <v>1.0695395218749999</v>
      </c>
      <c r="H18" s="6">
        <f t="shared" si="4"/>
        <v>2.4291222748437491</v>
      </c>
      <c r="I18" s="6">
        <f t="shared" si="4"/>
        <v>3.8828418033046868</v>
      </c>
    </row>
    <row r="19" spans="2:9" outlineLevel="1" x14ac:dyDescent="0.25">
      <c r="B19" s="9" t="s">
        <v>11</v>
      </c>
      <c r="C19" s="9"/>
      <c r="D19" s="10">
        <f>D17-D18</f>
        <v>-0.91085000000000038</v>
      </c>
      <c r="E19" s="10">
        <f t="shared" ref="E19:I19" si="5">E17-E18</f>
        <v>-0.41562499999999852</v>
      </c>
      <c r="F19" s="10">
        <f t="shared" si="5"/>
        <v>0.39095031249999962</v>
      </c>
      <c r="G19" s="10">
        <f t="shared" si="5"/>
        <v>1.5516151656249999</v>
      </c>
      <c r="H19" s="10">
        <f t="shared" si="5"/>
        <v>3.6614623345312491</v>
      </c>
      <c r="I19" s="10">
        <f t="shared" si="5"/>
        <v>5.8292443334140627</v>
      </c>
    </row>
    <row r="20" spans="2:9" x14ac:dyDescent="0.25">
      <c r="B20" s="28" t="s">
        <v>234</v>
      </c>
    </row>
    <row r="21" spans="2:9" x14ac:dyDescent="0.25"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78B5-7B76-411F-9F81-4EEB858A88C6}">
  <dimension ref="B1:H34"/>
  <sheetViews>
    <sheetView workbookViewId="0">
      <pane ySplit="5" topLeftCell="A6" activePane="bottomLeft" state="frozen"/>
      <selection pane="bottomLeft" activeCell="J32" sqref="J32"/>
    </sheetView>
  </sheetViews>
  <sheetFormatPr defaultRowHeight="15" x14ac:dyDescent="0.25"/>
  <cols>
    <col min="1" max="1" width="1.7109375" customWidth="1"/>
    <col min="2" max="2" width="39.140625" bestFit="1" customWidth="1"/>
  </cols>
  <sheetData>
    <row r="1" spans="2:8" x14ac:dyDescent="0.25">
      <c r="B1" s="1" t="s">
        <v>81</v>
      </c>
    </row>
    <row r="3" spans="2:8" x14ac:dyDescent="0.25">
      <c r="B3" s="4" t="str">
        <f>"Balance Sheet"&amp;" - "&amp;B1</f>
        <v>Balance Sheet - HRDYAM</v>
      </c>
    </row>
    <row r="5" spans="2:8" s="1" customFormat="1" x14ac:dyDescent="0.25">
      <c r="B5" s="2" t="s">
        <v>0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</row>
    <row r="6" spans="2:8" x14ac:dyDescent="0.25">
      <c r="B6" s="1" t="s">
        <v>91</v>
      </c>
    </row>
    <row r="7" spans="2:8" x14ac:dyDescent="0.25">
      <c r="B7" s="1" t="s">
        <v>92</v>
      </c>
    </row>
    <row r="8" spans="2:8" x14ac:dyDescent="0.25">
      <c r="B8" t="s">
        <v>93</v>
      </c>
      <c r="D8" s="38">
        <f>'Financial Assumptions'!$D$24</f>
        <v>8.5499999999999989</v>
      </c>
      <c r="E8" s="38">
        <f>'Financial Assumptions'!$D$24</f>
        <v>8.5499999999999989</v>
      </c>
      <c r="F8" s="38">
        <f>'Financial Assumptions'!$D$24</f>
        <v>8.5499999999999989</v>
      </c>
      <c r="G8" s="38">
        <f>'Financial Assumptions'!$D$24</f>
        <v>8.5499999999999989</v>
      </c>
      <c r="H8" s="38">
        <f>'Financial Assumptions'!$D$24</f>
        <v>8.5499999999999989</v>
      </c>
    </row>
    <row r="9" spans="2:8" x14ac:dyDescent="0.25">
      <c r="B9" t="s">
        <v>94</v>
      </c>
      <c r="D9" s="38">
        <f>Reserves!D8</f>
        <v>-0.91085000000000038</v>
      </c>
      <c r="E9" s="38">
        <f>Reserves!E8</f>
        <v>-1.326474999999999</v>
      </c>
      <c r="F9" s="38">
        <f>Reserves!F8</f>
        <v>-0.9355246874999994</v>
      </c>
      <c r="G9" s="38">
        <f>Reserves!G8</f>
        <v>0.61609047812500051</v>
      </c>
      <c r="H9" s="38">
        <f>Reserves!H8</f>
        <v>4.2775528126562499</v>
      </c>
    </row>
    <row r="10" spans="2:8" x14ac:dyDescent="0.25">
      <c r="B10" s="1" t="s">
        <v>95</v>
      </c>
      <c r="D10" s="40">
        <f>D8+D9</f>
        <v>7.639149999999999</v>
      </c>
      <c r="E10" s="40">
        <f t="shared" ref="E10:H10" si="0">E8+E9</f>
        <v>7.2235250000000004</v>
      </c>
      <c r="F10" s="40">
        <f t="shared" si="0"/>
        <v>7.6144753124999998</v>
      </c>
      <c r="G10" s="40">
        <f t="shared" si="0"/>
        <v>9.1660904781249997</v>
      </c>
      <c r="H10" s="40">
        <f t="shared" si="0"/>
        <v>12.827552812656249</v>
      </c>
    </row>
    <row r="11" spans="2:8" x14ac:dyDescent="0.25">
      <c r="D11" s="38"/>
      <c r="E11" s="38"/>
      <c r="F11" s="38"/>
      <c r="G11" s="38"/>
      <c r="H11" s="38"/>
    </row>
    <row r="12" spans="2:8" x14ac:dyDescent="0.25">
      <c r="B12" s="1" t="s">
        <v>96</v>
      </c>
      <c r="D12" s="38"/>
      <c r="E12" s="38"/>
      <c r="F12" s="38"/>
      <c r="G12" s="38"/>
      <c r="H12" s="38"/>
    </row>
    <row r="13" spans="2:8" x14ac:dyDescent="0.25">
      <c r="B13" t="s">
        <v>97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</row>
    <row r="14" spans="2:8" x14ac:dyDescent="0.25">
      <c r="D14" s="38"/>
      <c r="E14" s="38"/>
      <c r="F14" s="38"/>
      <c r="G14" s="38"/>
      <c r="H14" s="38"/>
    </row>
    <row r="15" spans="2:8" x14ac:dyDescent="0.25">
      <c r="B15" s="1" t="s">
        <v>98</v>
      </c>
      <c r="D15" s="38"/>
      <c r="E15" s="38"/>
      <c r="F15" s="38"/>
      <c r="G15" s="38"/>
      <c r="H15" s="38"/>
    </row>
    <row r="16" spans="2:8" x14ac:dyDescent="0.25">
      <c r="B16" t="s">
        <v>99</v>
      </c>
      <c r="D16" s="38">
        <f>'Working Capital'!D15</f>
        <v>0.11035287671232874</v>
      </c>
      <c r="E16" s="38">
        <f>'Working Capital'!E15</f>
        <v>0.16413424657534251</v>
      </c>
      <c r="F16" s="38">
        <f>'Working Capital'!F15</f>
        <v>0.25774972602739726</v>
      </c>
      <c r="G16" s="38">
        <f>'Working Capital'!G15</f>
        <v>0.3856105547945205</v>
      </c>
      <c r="H16" s="38">
        <f>'Working Capital'!H15</f>
        <v>0.58271536883561648</v>
      </c>
    </row>
    <row r="17" spans="2:8" x14ac:dyDescent="0.25">
      <c r="B17" t="s">
        <v>100</v>
      </c>
      <c r="D17" s="38">
        <f>'Working Capital'!D20</f>
        <v>0</v>
      </c>
      <c r="E17" s="38">
        <f>'Working Capital'!E20</f>
        <v>0.5</v>
      </c>
      <c r="F17" s="38">
        <f>'Working Capital'!F20</f>
        <v>1.6666666666666667</v>
      </c>
      <c r="G17" s="38">
        <f>'Working Capital'!G20</f>
        <v>3.9166666666666665</v>
      </c>
      <c r="H17" s="38">
        <f>'Working Capital'!H20</f>
        <v>7.7500000000000009</v>
      </c>
    </row>
    <row r="18" spans="2:8" x14ac:dyDescent="0.25">
      <c r="B18" t="s">
        <v>101</v>
      </c>
      <c r="D18" s="38">
        <f>'Working Capital'!D23</f>
        <v>9.1960730593607272E-3</v>
      </c>
      <c r="E18" s="38">
        <f>'Working Capital'!E23</f>
        <v>1.4842270547945208E-2</v>
      </c>
      <c r="F18" s="38">
        <f>'Working Capital'!F23</f>
        <v>2.4561310502283107E-2</v>
      </c>
      <c r="G18" s="38">
        <f>'Working Capital'!G23</f>
        <v>3.7887629566210043E-2</v>
      </c>
      <c r="H18" s="38">
        <f>'Working Capital'!H23</f>
        <v>5.9107530736301372E-2</v>
      </c>
    </row>
    <row r="19" spans="2:8" x14ac:dyDescent="0.25">
      <c r="B19" s="1" t="s">
        <v>102</v>
      </c>
      <c r="D19" s="41">
        <f>SUM(D16:D18)</f>
        <v>0.11954894977168946</v>
      </c>
      <c r="E19" s="41">
        <f t="shared" ref="E19:H19" si="1">SUM(E16:E18)</f>
        <v>0.67897651712328766</v>
      </c>
      <c r="F19" s="41">
        <f t="shared" si="1"/>
        <v>1.9489777031963471</v>
      </c>
      <c r="G19" s="41">
        <f t="shared" si="1"/>
        <v>4.3401648510273976</v>
      </c>
      <c r="H19" s="41">
        <f t="shared" si="1"/>
        <v>8.3918228995719186</v>
      </c>
    </row>
    <row r="20" spans="2:8" ht="15.75" thickBot="1" x14ac:dyDescent="0.3">
      <c r="B20" s="13" t="s">
        <v>103</v>
      </c>
      <c r="D20" s="39">
        <f>D10+D13+D19</f>
        <v>7.7586989497716887</v>
      </c>
      <c r="E20" s="39">
        <f t="shared" ref="E20:H20" si="2">E10+E13+E19</f>
        <v>7.9025015171232882</v>
      </c>
      <c r="F20" s="39">
        <f t="shared" si="2"/>
        <v>9.5634530156963464</v>
      </c>
      <c r="G20" s="39">
        <f t="shared" si="2"/>
        <v>13.506255329152397</v>
      </c>
      <c r="H20" s="39">
        <f t="shared" si="2"/>
        <v>21.219375712228167</v>
      </c>
    </row>
    <row r="21" spans="2:8" x14ac:dyDescent="0.25">
      <c r="D21" s="38"/>
      <c r="E21" s="38"/>
      <c r="F21" s="38"/>
      <c r="G21" s="38"/>
      <c r="H21" s="38"/>
    </row>
    <row r="22" spans="2:8" x14ac:dyDescent="0.25">
      <c r="B22" s="1" t="s">
        <v>104</v>
      </c>
      <c r="D22" s="38"/>
      <c r="E22" s="38"/>
      <c r="F22" s="38"/>
      <c r="G22" s="38"/>
      <c r="H22" s="38"/>
    </row>
    <row r="23" spans="2:8" x14ac:dyDescent="0.25">
      <c r="B23" s="1" t="s">
        <v>105</v>
      </c>
      <c r="D23" s="38"/>
      <c r="E23" s="38"/>
      <c r="F23" s="38"/>
      <c r="G23" s="38"/>
      <c r="H23" s="38"/>
    </row>
    <row r="24" spans="2:8" x14ac:dyDescent="0.25">
      <c r="B24" t="s">
        <v>106</v>
      </c>
      <c r="D24" s="38"/>
      <c r="E24" s="38"/>
      <c r="F24" s="38"/>
      <c r="G24" s="38"/>
      <c r="H24" s="38"/>
    </row>
    <row r="25" spans="2:8" x14ac:dyDescent="0.25">
      <c r="B25" t="s">
        <v>107</v>
      </c>
      <c r="D25" s="38">
        <f>'Fixed Asset Schedule'!D26+'Fixed Asset Schedule'!D27</f>
        <v>0.59000000000000008</v>
      </c>
      <c r="E25" s="38">
        <f>'Fixed Asset Schedule'!E26+'Fixed Asset Schedule'!E27</f>
        <v>0.53</v>
      </c>
      <c r="F25" s="38">
        <f>'Fixed Asset Schedule'!F26+'Fixed Asset Schedule'!F27</f>
        <v>0.59000000000000008</v>
      </c>
      <c r="G25" s="38">
        <f>'Fixed Asset Schedule'!G26+'Fixed Asset Schedule'!G27</f>
        <v>0.53</v>
      </c>
      <c r="H25" s="38">
        <f>'Fixed Asset Schedule'!H26+'Fixed Asset Schedule'!H27</f>
        <v>0.47000000000000003</v>
      </c>
    </row>
    <row r="26" spans="2:8" x14ac:dyDescent="0.25">
      <c r="B26" t="s">
        <v>108</v>
      </c>
      <c r="D26" s="38">
        <f>'Fixed Asset Schedule'!D28</f>
        <v>1.6800000000000002</v>
      </c>
      <c r="E26" s="38">
        <f>'Fixed Asset Schedule'!E28</f>
        <v>1.51</v>
      </c>
      <c r="F26" s="38">
        <f>'Fixed Asset Schedule'!F28</f>
        <v>1.34</v>
      </c>
      <c r="G26" s="38">
        <f>'Fixed Asset Schedule'!G28</f>
        <v>1.17</v>
      </c>
      <c r="H26" s="38">
        <f>'Fixed Asset Schedule'!H28</f>
        <v>1</v>
      </c>
    </row>
    <row r="27" spans="2:8" x14ac:dyDescent="0.25">
      <c r="D27" s="41">
        <f>D25+D26</f>
        <v>2.2700000000000005</v>
      </c>
      <c r="E27" s="41">
        <f t="shared" ref="E27:H27" si="3">E25+E26</f>
        <v>2.04</v>
      </c>
      <c r="F27" s="41">
        <f t="shared" si="3"/>
        <v>1.9300000000000002</v>
      </c>
      <c r="G27" s="41">
        <f t="shared" si="3"/>
        <v>1.7</v>
      </c>
      <c r="H27" s="41">
        <f t="shared" si="3"/>
        <v>1.47</v>
      </c>
    </row>
    <row r="28" spans="2:8" x14ac:dyDescent="0.25">
      <c r="D28" s="38"/>
      <c r="E28" s="38"/>
      <c r="F28" s="38"/>
      <c r="G28" s="38"/>
      <c r="H28" s="38"/>
    </row>
    <row r="29" spans="2:8" x14ac:dyDescent="0.25">
      <c r="B29" s="1" t="s">
        <v>109</v>
      </c>
      <c r="D29" s="38"/>
      <c r="E29" s="38"/>
      <c r="F29" s="38"/>
      <c r="G29" s="38"/>
      <c r="H29" s="38"/>
    </row>
    <row r="30" spans="2:8" x14ac:dyDescent="0.25">
      <c r="B30" t="s">
        <v>110</v>
      </c>
      <c r="D30" s="38" t="e">
        <f>'Working Capital'!D6</f>
        <v>#REF!</v>
      </c>
      <c r="E30" s="38" t="e">
        <f>'Working Capital'!E6</f>
        <v>#REF!</v>
      </c>
      <c r="F30" s="38" t="e">
        <f>'Working Capital'!F6</f>
        <v>#REF!</v>
      </c>
      <c r="G30" s="38" t="e">
        <f>'Working Capital'!G6</f>
        <v>#REF!</v>
      </c>
      <c r="H30" s="38" t="e">
        <f>'Working Capital'!H6</f>
        <v>#REF!</v>
      </c>
    </row>
    <row r="31" spans="2:8" x14ac:dyDescent="0.25">
      <c r="B31" t="s">
        <v>111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</row>
    <row r="32" spans="2:8" x14ac:dyDescent="0.25">
      <c r="B32" t="s">
        <v>112</v>
      </c>
      <c r="D32" s="38" t="e">
        <f>'Cash Flow'!D29</f>
        <v>#REF!</v>
      </c>
      <c r="E32" s="38" t="e">
        <f>'Cash Flow'!E29</f>
        <v>#REF!</v>
      </c>
      <c r="F32" s="38" t="e">
        <f>'Cash Flow'!F29</f>
        <v>#REF!</v>
      </c>
      <c r="G32" s="38" t="e">
        <f>'Cash Flow'!G29</f>
        <v>#REF!</v>
      </c>
      <c r="H32" s="38" t="e">
        <f>'Cash Flow'!H29</f>
        <v>#REF!</v>
      </c>
    </row>
    <row r="33" spans="2:8" x14ac:dyDescent="0.25">
      <c r="B33" s="1" t="s">
        <v>113</v>
      </c>
      <c r="D33" s="41" t="e">
        <f>SUM(D30:D32)</f>
        <v>#REF!</v>
      </c>
      <c r="E33" s="41" t="e">
        <f t="shared" ref="E33:H33" si="4">SUM(E30:E32)</f>
        <v>#REF!</v>
      </c>
      <c r="F33" s="41" t="e">
        <f t="shared" si="4"/>
        <v>#REF!</v>
      </c>
      <c r="G33" s="41" t="e">
        <f t="shared" si="4"/>
        <v>#REF!</v>
      </c>
      <c r="H33" s="41" t="e">
        <f t="shared" si="4"/>
        <v>#REF!</v>
      </c>
    </row>
    <row r="34" spans="2:8" ht="15.75" thickBot="1" x14ac:dyDescent="0.3">
      <c r="B34" s="13" t="s">
        <v>114</v>
      </c>
      <c r="D34" s="39" t="e">
        <f>D25+D26+D33</f>
        <v>#REF!</v>
      </c>
      <c r="E34" s="39" t="e">
        <f t="shared" ref="E34:H34" si="5">E25+E26+E33</f>
        <v>#REF!</v>
      </c>
      <c r="F34" s="39" t="e">
        <f t="shared" si="5"/>
        <v>#REF!</v>
      </c>
      <c r="G34" s="39" t="e">
        <f t="shared" si="5"/>
        <v>#REF!</v>
      </c>
      <c r="H34" s="39" t="e">
        <f t="shared" si="5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93F0-CDE7-4C09-958B-901105BE598C}">
  <dimension ref="B1:H29"/>
  <sheetViews>
    <sheetView zoomScale="85" zoomScaleNormal="85" workbookViewId="0">
      <pane ySplit="5" topLeftCell="A6" activePane="bottomLeft" state="frozen"/>
      <selection pane="bottomLeft" activeCell="K27" sqref="K27"/>
    </sheetView>
  </sheetViews>
  <sheetFormatPr defaultRowHeight="15" x14ac:dyDescent="0.25"/>
  <cols>
    <col min="1" max="1" width="1.7109375" customWidth="1"/>
    <col min="2" max="2" width="39.7109375" bestFit="1" customWidth="1"/>
  </cols>
  <sheetData>
    <row r="1" spans="2:8" x14ac:dyDescent="0.25">
      <c r="B1" s="1" t="s">
        <v>81</v>
      </c>
    </row>
    <row r="3" spans="2:8" x14ac:dyDescent="0.25">
      <c r="B3" s="4" t="str">
        <f>"Cash Flow"&amp;" - "&amp;B1</f>
        <v>Cash Flow - HRDYAM</v>
      </c>
    </row>
    <row r="5" spans="2:8" s="1" customFormat="1" x14ac:dyDescent="0.25">
      <c r="B5" s="2" t="s">
        <v>0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</row>
    <row r="6" spans="2:8" x14ac:dyDescent="0.25">
      <c r="B6" s="1" t="s">
        <v>115</v>
      </c>
      <c r="D6" s="6">
        <f>'Income Statement'!D19</f>
        <v>-0.91085000000000038</v>
      </c>
      <c r="E6" s="6">
        <f>'Income Statement'!E19</f>
        <v>-0.41562499999999852</v>
      </c>
      <c r="F6" s="6">
        <f>'Income Statement'!F19</f>
        <v>0.39095031249999962</v>
      </c>
      <c r="G6" s="6">
        <f>'Income Statement'!G19</f>
        <v>1.5516151656249999</v>
      </c>
      <c r="H6" s="6">
        <f>'Income Statement'!H19</f>
        <v>3.6614623345312491</v>
      </c>
    </row>
    <row r="7" spans="2:8" x14ac:dyDescent="0.25">
      <c r="B7" t="s">
        <v>116</v>
      </c>
      <c r="D7" s="6">
        <f>'Income Statement'!D14</f>
        <v>0.23</v>
      </c>
      <c r="E7" s="6">
        <f>'Income Statement'!E14</f>
        <v>0.23</v>
      </c>
      <c r="F7" s="6">
        <f>'Income Statement'!F14</f>
        <v>0.23</v>
      </c>
      <c r="G7" s="6">
        <f>'Income Statement'!G14</f>
        <v>0.23</v>
      </c>
      <c r="H7" s="6">
        <f>'Income Statement'!H14</f>
        <v>0.23</v>
      </c>
    </row>
    <row r="8" spans="2:8" x14ac:dyDescent="0.25">
      <c r="B8" t="s">
        <v>117</v>
      </c>
      <c r="D8" s="6">
        <f>'Income Statement'!D16</f>
        <v>0</v>
      </c>
      <c r="E8" s="6">
        <f>'Income Statement'!E16</f>
        <v>0.06</v>
      </c>
      <c r="F8" s="6">
        <f>'Income Statement'!F16</f>
        <v>0.2</v>
      </c>
      <c r="G8" s="6">
        <f>'Income Statement'!G16</f>
        <v>0.47</v>
      </c>
      <c r="H8" s="6">
        <f>'Income Statement'!H16</f>
        <v>0.93</v>
      </c>
    </row>
    <row r="9" spans="2:8" x14ac:dyDescent="0.25">
      <c r="B9" t="s">
        <v>118</v>
      </c>
      <c r="D9">
        <v>0</v>
      </c>
      <c r="E9">
        <v>0</v>
      </c>
      <c r="F9">
        <v>0</v>
      </c>
      <c r="G9">
        <v>0</v>
      </c>
      <c r="H9">
        <v>0</v>
      </c>
    </row>
    <row r="10" spans="2:8" x14ac:dyDescent="0.25">
      <c r="B10" t="s">
        <v>119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2:8" x14ac:dyDescent="0.25">
      <c r="B11" s="1" t="s">
        <v>120</v>
      </c>
      <c r="D11" s="10">
        <f>SUM(D6:D10)</f>
        <v>-0.6808500000000004</v>
      </c>
      <c r="E11" s="10">
        <f t="shared" ref="E11:H11" si="0">SUM(E6:E10)</f>
        <v>-0.12562499999999852</v>
      </c>
      <c r="F11" s="10">
        <f t="shared" si="0"/>
        <v>0.82095031249999972</v>
      </c>
      <c r="G11" s="10">
        <f t="shared" si="0"/>
        <v>2.2516151656250001</v>
      </c>
      <c r="H11" s="10">
        <f t="shared" si="0"/>
        <v>4.8214623345312493</v>
      </c>
    </row>
    <row r="12" spans="2:8" x14ac:dyDescent="0.25">
      <c r="B12" t="s">
        <v>72</v>
      </c>
      <c r="D12" s="38" t="e">
        <f>'Balance Sheet'!D30</f>
        <v>#REF!</v>
      </c>
      <c r="E12" s="38" t="e">
        <f>'Balance Sheet'!E30-'Balance Sheet'!D30</f>
        <v>#REF!</v>
      </c>
      <c r="F12" s="38" t="e">
        <f>'Balance Sheet'!F30-'Balance Sheet'!E30</f>
        <v>#REF!</v>
      </c>
      <c r="G12" s="38" t="e">
        <f>'Balance Sheet'!G30-'Balance Sheet'!F30</f>
        <v>#REF!</v>
      </c>
      <c r="H12" s="38" t="e">
        <f>'Balance Sheet'!H30-'Balance Sheet'!G30</f>
        <v>#REF!</v>
      </c>
    </row>
    <row r="13" spans="2:8" x14ac:dyDescent="0.25">
      <c r="B13" t="s">
        <v>121</v>
      </c>
      <c r="D13" s="38">
        <f>'Balance Sheet'!D16</f>
        <v>0.11035287671232874</v>
      </c>
      <c r="E13" s="38">
        <f>'Balance Sheet'!E16-'Balance Sheet'!D16</f>
        <v>5.3781369863013767E-2</v>
      </c>
      <c r="F13" s="38">
        <f>'Balance Sheet'!F16-'Balance Sheet'!E16</f>
        <v>9.3615479452054756E-2</v>
      </c>
      <c r="G13" s="38">
        <f>'Balance Sheet'!G16-'Balance Sheet'!F16</f>
        <v>0.12786082876712324</v>
      </c>
      <c r="H13" s="38">
        <f>'Balance Sheet'!H16-'Balance Sheet'!G16</f>
        <v>0.19710481404109598</v>
      </c>
    </row>
    <row r="14" spans="2:8" ht="15.75" thickBot="1" x14ac:dyDescent="0.3">
      <c r="B14" s="1" t="s">
        <v>131</v>
      </c>
      <c r="D14" s="39" t="e">
        <f>D11+D12+D13</f>
        <v>#REF!</v>
      </c>
      <c r="E14" s="39" t="e">
        <f t="shared" ref="E14:H14" si="1">E11+E12+E13</f>
        <v>#REF!</v>
      </c>
      <c r="F14" s="39" t="e">
        <f t="shared" si="1"/>
        <v>#REF!</v>
      </c>
      <c r="G14" s="39" t="e">
        <f t="shared" si="1"/>
        <v>#REF!</v>
      </c>
      <c r="H14" s="39" t="e">
        <f t="shared" si="1"/>
        <v>#REF!</v>
      </c>
    </row>
    <row r="15" spans="2:8" x14ac:dyDescent="0.25">
      <c r="D15" s="38"/>
      <c r="E15" s="38"/>
      <c r="F15" s="38"/>
      <c r="G15" s="38"/>
      <c r="H15" s="38"/>
    </row>
    <row r="16" spans="2:8" x14ac:dyDescent="0.25">
      <c r="B16" t="s">
        <v>122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</row>
    <row r="17" spans="2:8" x14ac:dyDescent="0.25">
      <c r="B17" t="s">
        <v>123</v>
      </c>
      <c r="D17" s="38">
        <f>-('Financial Assumptions'!$D$43+'Financial Assumptions'!$D$44)</f>
        <v>-2.5</v>
      </c>
      <c r="E17" s="38">
        <v>0</v>
      </c>
      <c r="F17" s="38">
        <v>0</v>
      </c>
      <c r="G17" s="38">
        <v>0</v>
      </c>
      <c r="H17" s="38">
        <v>0</v>
      </c>
    </row>
    <row r="18" spans="2:8" ht="15.75" thickBot="1" x14ac:dyDescent="0.3">
      <c r="B18" s="1" t="s">
        <v>124</v>
      </c>
      <c r="D18" s="39">
        <f>D16+D17</f>
        <v>-2.5</v>
      </c>
      <c r="E18" s="39">
        <f t="shared" ref="E18:H18" si="2">E16+E17</f>
        <v>0</v>
      </c>
      <c r="F18" s="39">
        <f t="shared" si="2"/>
        <v>0</v>
      </c>
      <c r="G18" s="39">
        <f t="shared" si="2"/>
        <v>0</v>
      </c>
      <c r="H18" s="39">
        <f t="shared" si="2"/>
        <v>0</v>
      </c>
    </row>
    <row r="19" spans="2:8" x14ac:dyDescent="0.25">
      <c r="D19" s="38"/>
      <c r="E19" s="38"/>
      <c r="F19" s="38"/>
      <c r="G19" s="38"/>
      <c r="H19" s="38"/>
    </row>
    <row r="20" spans="2:8" x14ac:dyDescent="0.25">
      <c r="B20" t="s">
        <v>125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</row>
    <row r="21" spans="2:8" x14ac:dyDescent="0.25">
      <c r="B21" t="s">
        <v>126</v>
      </c>
      <c r="D21" s="38">
        <f>-D8</f>
        <v>0</v>
      </c>
      <c r="E21" s="38">
        <f t="shared" ref="E21:H21" si="3">-E8</f>
        <v>-0.06</v>
      </c>
      <c r="F21" s="38">
        <f t="shared" si="3"/>
        <v>-0.2</v>
      </c>
      <c r="G21" s="38">
        <f t="shared" si="3"/>
        <v>-0.47</v>
      </c>
      <c r="H21" s="38">
        <f t="shared" si="3"/>
        <v>-0.93</v>
      </c>
    </row>
    <row r="22" spans="2:8" x14ac:dyDescent="0.25">
      <c r="B22" t="s">
        <v>127</v>
      </c>
      <c r="D22" s="38">
        <f>'Balance Sheet'!D17</f>
        <v>0</v>
      </c>
      <c r="E22" s="38">
        <f>'Balance Sheet'!E17-'Balance Sheet'!D17</f>
        <v>0.5</v>
      </c>
      <c r="F22" s="38">
        <f>'Balance Sheet'!F17-'Balance Sheet'!E17</f>
        <v>1.1666666666666667</v>
      </c>
      <c r="G22" s="38">
        <f>'Balance Sheet'!G17-'Balance Sheet'!F17</f>
        <v>2.25</v>
      </c>
      <c r="H22" s="38">
        <f>'Balance Sheet'!H17-'Balance Sheet'!G17</f>
        <v>3.8333333333333344</v>
      </c>
    </row>
    <row r="23" spans="2:8" x14ac:dyDescent="0.25">
      <c r="B23" t="s">
        <v>128</v>
      </c>
      <c r="D23" s="38">
        <f>'Balance Sheet'!D18</f>
        <v>9.1960730593607272E-3</v>
      </c>
      <c r="E23" s="38">
        <f>'Balance Sheet'!E18-'Balance Sheet'!D18</f>
        <v>5.6461974885844805E-3</v>
      </c>
      <c r="F23" s="38">
        <f>'Balance Sheet'!F18-'Balance Sheet'!E18</f>
        <v>9.7190399543378991E-3</v>
      </c>
      <c r="G23" s="38">
        <f>'Balance Sheet'!G18-'Balance Sheet'!F18</f>
        <v>1.3326319063926936E-2</v>
      </c>
      <c r="H23" s="38">
        <f>'Balance Sheet'!H18-'Balance Sheet'!G18</f>
        <v>2.1219901170091329E-2</v>
      </c>
    </row>
    <row r="24" spans="2:8" x14ac:dyDescent="0.25">
      <c r="B24" t="s">
        <v>129</v>
      </c>
      <c r="D24" s="38">
        <f>'Financial Assumptions'!$D$29</f>
        <v>8.5499999999999989</v>
      </c>
      <c r="E24" s="38">
        <v>0</v>
      </c>
      <c r="F24" s="38">
        <v>0</v>
      </c>
      <c r="G24" s="38">
        <v>0</v>
      </c>
      <c r="H24" s="38">
        <v>0</v>
      </c>
    </row>
    <row r="25" spans="2:8" ht="15.75" thickBot="1" x14ac:dyDescent="0.3">
      <c r="B25" s="1" t="s">
        <v>130</v>
      </c>
      <c r="D25" s="39">
        <f>SUM(D20:D24)</f>
        <v>8.5591960730593595</v>
      </c>
      <c r="E25" s="39">
        <f t="shared" ref="E25:H25" si="4">SUM(E20:E24)</f>
        <v>0.44564619748858447</v>
      </c>
      <c r="F25" s="39">
        <f t="shared" si="4"/>
        <v>0.97638570662100466</v>
      </c>
      <c r="G25" s="39">
        <f t="shared" si="4"/>
        <v>1.793326319063927</v>
      </c>
      <c r="H25" s="39">
        <f t="shared" si="4"/>
        <v>2.9245532345034255</v>
      </c>
    </row>
    <row r="26" spans="2:8" x14ac:dyDescent="0.25">
      <c r="D26" s="38"/>
      <c r="E26" s="38"/>
      <c r="F26" s="38"/>
      <c r="G26" s="38"/>
      <c r="H26" s="38"/>
    </row>
    <row r="27" spans="2:8" x14ac:dyDescent="0.25">
      <c r="B27" s="1" t="s">
        <v>132</v>
      </c>
      <c r="D27" s="38" t="e">
        <f>D14+D18+D25</f>
        <v>#REF!</v>
      </c>
      <c r="E27" s="38" t="e">
        <f t="shared" ref="E27:H27" si="5">E14+E18+E25</f>
        <v>#REF!</v>
      </c>
      <c r="F27" s="38" t="e">
        <f t="shared" si="5"/>
        <v>#REF!</v>
      </c>
      <c r="G27" s="38" t="e">
        <f t="shared" si="5"/>
        <v>#REF!</v>
      </c>
      <c r="H27" s="38" t="e">
        <f t="shared" si="5"/>
        <v>#REF!</v>
      </c>
    </row>
    <row r="28" spans="2:8" x14ac:dyDescent="0.25">
      <c r="B28" t="s">
        <v>133</v>
      </c>
      <c r="D28" s="38">
        <v>0</v>
      </c>
      <c r="E28" s="38" t="e">
        <f>D29</f>
        <v>#REF!</v>
      </c>
      <c r="F28" s="38" t="e">
        <f t="shared" ref="F28:H28" si="6">E29</f>
        <v>#REF!</v>
      </c>
      <c r="G28" s="38" t="e">
        <f t="shared" si="6"/>
        <v>#REF!</v>
      </c>
      <c r="H28" s="38" t="e">
        <f t="shared" si="6"/>
        <v>#REF!</v>
      </c>
    </row>
    <row r="29" spans="2:8" ht="15.75" thickBot="1" x14ac:dyDescent="0.3">
      <c r="B29" s="1" t="s">
        <v>134</v>
      </c>
      <c r="D29" s="36" t="e">
        <f>D27+D28</f>
        <v>#REF!</v>
      </c>
      <c r="E29" s="36" t="e">
        <f t="shared" ref="E29:H29" si="7">E27+E28</f>
        <v>#REF!</v>
      </c>
      <c r="F29" s="36" t="e">
        <f t="shared" si="7"/>
        <v>#REF!</v>
      </c>
      <c r="G29" s="36" t="e">
        <f t="shared" si="7"/>
        <v>#REF!</v>
      </c>
      <c r="H29" s="36" t="e">
        <f t="shared" si="7"/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AF59-FEC8-4569-BEA1-331CC32144C5}">
  <dimension ref="B1:J10"/>
  <sheetViews>
    <sheetView topLeftCell="B1" workbookViewId="0">
      <pane ySplit="5" topLeftCell="A6" activePane="bottomLeft" state="frozen"/>
      <selection activeCell="B1" sqref="B1"/>
      <selection pane="bottomLeft" activeCell="H14" sqref="H14"/>
    </sheetView>
  </sheetViews>
  <sheetFormatPr defaultRowHeight="15" x14ac:dyDescent="0.25"/>
  <cols>
    <col min="1" max="1" width="1.7109375" customWidth="1"/>
    <col min="2" max="2" width="31.42578125" bestFit="1" customWidth="1"/>
    <col min="8" max="8" width="9.5703125" bestFit="1" customWidth="1"/>
  </cols>
  <sheetData>
    <row r="1" spans="2:10" x14ac:dyDescent="0.25">
      <c r="B1" s="1" t="s">
        <v>81</v>
      </c>
    </row>
    <row r="3" spans="2:10" x14ac:dyDescent="0.25">
      <c r="B3" s="4" t="str">
        <f>"Reserves"&amp;" - "&amp;B1</f>
        <v>Reserves - HRDYAM</v>
      </c>
    </row>
    <row r="5" spans="2:10" s="1" customFormat="1" x14ac:dyDescent="0.25">
      <c r="B5" s="2" t="s">
        <v>0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</row>
    <row r="6" spans="2:10" x14ac:dyDescent="0.25">
      <c r="B6" t="s">
        <v>135</v>
      </c>
      <c r="D6">
        <v>0</v>
      </c>
      <c r="E6">
        <f>D8</f>
        <v>-0.91085000000000038</v>
      </c>
      <c r="F6">
        <f t="shared" ref="F6:H6" si="0">E8</f>
        <v>-1.326474999999999</v>
      </c>
      <c r="G6">
        <f t="shared" si="0"/>
        <v>-0.9355246874999994</v>
      </c>
      <c r="H6">
        <f t="shared" si="0"/>
        <v>0.61609047812500051</v>
      </c>
    </row>
    <row r="7" spans="2:10" x14ac:dyDescent="0.25">
      <c r="B7" t="s">
        <v>136</v>
      </c>
      <c r="D7" s="42">
        <f>'Income Statement'!D19</f>
        <v>-0.91085000000000038</v>
      </c>
      <c r="E7" s="43">
        <f>'Income Statement'!E19</f>
        <v>-0.41562499999999852</v>
      </c>
      <c r="F7" s="43">
        <f>'Income Statement'!F19</f>
        <v>0.39095031249999962</v>
      </c>
      <c r="G7" s="43">
        <f>'Income Statement'!G19</f>
        <v>1.5516151656249999</v>
      </c>
      <c r="H7" s="44">
        <f>'Income Statement'!H19</f>
        <v>3.6614623345312491</v>
      </c>
      <c r="J7" s="28" t="s">
        <v>227</v>
      </c>
    </row>
    <row r="8" spans="2:10" ht="15.75" thickBot="1" x14ac:dyDescent="0.3">
      <c r="B8" s="1" t="s">
        <v>137</v>
      </c>
      <c r="D8" s="47">
        <f>SUM(D6:D7)</f>
        <v>-0.91085000000000038</v>
      </c>
      <c r="E8" s="47">
        <f t="shared" ref="E8:H8" si="1">SUM(E6:E7)</f>
        <v>-1.326474999999999</v>
      </c>
      <c r="F8" s="47">
        <f t="shared" si="1"/>
        <v>-0.9355246874999994</v>
      </c>
      <c r="G8" s="47">
        <f t="shared" si="1"/>
        <v>0.61609047812500051</v>
      </c>
      <c r="H8" s="49">
        <f t="shared" si="1"/>
        <v>4.2775528126562499</v>
      </c>
    </row>
    <row r="9" spans="2:10" x14ac:dyDescent="0.25">
      <c r="H9" s="28" t="s">
        <v>233</v>
      </c>
    </row>
    <row r="10" spans="2:10" x14ac:dyDescent="0.25">
      <c r="D10" s="28" t="s">
        <v>238</v>
      </c>
      <c r="F10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32BB-F9FB-4754-AA76-933002F9FBC1}">
  <dimension ref="B1:N45"/>
  <sheetViews>
    <sheetView zoomScale="89" workbookViewId="0">
      <pane ySplit="5" topLeftCell="A6" activePane="bottomLeft" state="frozen"/>
      <selection pane="bottomLeft" activeCell="L16" sqref="L16"/>
    </sheetView>
  </sheetViews>
  <sheetFormatPr defaultRowHeight="15" x14ac:dyDescent="0.25"/>
  <cols>
    <col min="1" max="1" width="1.7109375" customWidth="1"/>
    <col min="2" max="2" width="36" bestFit="1" customWidth="1"/>
    <col min="4" max="9" width="10.5703125" bestFit="1" customWidth="1"/>
  </cols>
  <sheetData>
    <row r="1" spans="2:14" x14ac:dyDescent="0.25">
      <c r="B1" s="1" t="s">
        <v>81</v>
      </c>
    </row>
    <row r="3" spans="2:14" x14ac:dyDescent="0.25">
      <c r="B3" s="4" t="str">
        <f>"Revenue &amp; Cost Sheet"&amp;" - "&amp;B1</f>
        <v>Revenue &amp; Cost Sheet - HRDYAM</v>
      </c>
      <c r="I3" s="28"/>
    </row>
    <row r="4" spans="2:14" x14ac:dyDescent="0.25">
      <c r="B4" s="2" t="s">
        <v>0</v>
      </c>
    </row>
    <row r="5" spans="2:14" s="1" customFormat="1" x14ac:dyDescent="0.25">
      <c r="B5" s="2" t="s">
        <v>85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  <c r="I5" s="2">
        <v>2031</v>
      </c>
    </row>
    <row r="6" spans="2:14" x14ac:dyDescent="0.25">
      <c r="B6" t="s">
        <v>223</v>
      </c>
      <c r="D6" s="38">
        <v>0.5</v>
      </c>
      <c r="E6" s="38">
        <v>0.83</v>
      </c>
      <c r="F6" s="38">
        <v>1.53</v>
      </c>
      <c r="G6" s="38">
        <v>2.52</v>
      </c>
      <c r="H6" s="38">
        <v>4.4000000000000004</v>
      </c>
      <c r="I6" s="38">
        <v>6.6</v>
      </c>
    </row>
    <row r="7" spans="2:14" x14ac:dyDescent="0.25">
      <c r="B7" t="s">
        <v>82</v>
      </c>
      <c r="D7" s="38">
        <v>2.8</v>
      </c>
      <c r="E7" s="38">
        <v>3.95</v>
      </c>
      <c r="F7" s="38">
        <v>6.12</v>
      </c>
      <c r="G7" s="38">
        <v>9.1</v>
      </c>
      <c r="H7" s="38">
        <v>13.64</v>
      </c>
      <c r="I7" s="38">
        <v>17.399999999999999</v>
      </c>
    </row>
    <row r="8" spans="2:14" x14ac:dyDescent="0.25">
      <c r="B8" t="s">
        <v>222</v>
      </c>
      <c r="D8" s="38">
        <v>0</v>
      </c>
      <c r="E8" s="38">
        <v>0.17</v>
      </c>
      <c r="F8" s="38">
        <v>0.45</v>
      </c>
      <c r="G8" s="38">
        <v>0.84</v>
      </c>
      <c r="H8" s="38">
        <v>1.54</v>
      </c>
      <c r="I8" s="38">
        <v>2.4</v>
      </c>
    </row>
    <row r="9" spans="2:14" x14ac:dyDescent="0.25">
      <c r="B9" t="s">
        <v>83</v>
      </c>
      <c r="D9" s="38">
        <v>0.05</v>
      </c>
      <c r="E9" s="38">
        <v>0.11</v>
      </c>
      <c r="F9" s="38">
        <v>0.18</v>
      </c>
      <c r="G9" s="38">
        <v>0.28000000000000003</v>
      </c>
      <c r="H9" s="38">
        <v>0.44</v>
      </c>
      <c r="I9" s="38">
        <v>0.6</v>
      </c>
    </row>
    <row r="10" spans="2:14" x14ac:dyDescent="0.25">
      <c r="B10" t="s">
        <v>84</v>
      </c>
      <c r="D10" s="38">
        <v>0.2</v>
      </c>
      <c r="E10" s="38">
        <v>0.44</v>
      </c>
      <c r="F10" s="38">
        <v>0.72</v>
      </c>
      <c r="G10" s="38">
        <v>1.26</v>
      </c>
      <c r="H10" s="38">
        <v>1.98</v>
      </c>
      <c r="I10" s="38">
        <v>3</v>
      </c>
    </row>
    <row r="11" spans="2:14" ht="15.75" thickBot="1" x14ac:dyDescent="0.3">
      <c r="D11" s="39">
        <f>D6+D7+D8+D9+D10</f>
        <v>3.55</v>
      </c>
      <c r="E11" s="39">
        <f t="shared" ref="E11:I11" si="0">E6+E7+E8+E9+E10</f>
        <v>5.5000000000000009</v>
      </c>
      <c r="F11" s="39">
        <f t="shared" si="0"/>
        <v>9</v>
      </c>
      <c r="G11" s="39">
        <f t="shared" si="0"/>
        <v>13.999999999999998</v>
      </c>
      <c r="H11" s="39">
        <f t="shared" si="0"/>
        <v>22</v>
      </c>
      <c r="I11" s="39">
        <f t="shared" si="0"/>
        <v>30</v>
      </c>
      <c r="J11" s="28" t="s">
        <v>235</v>
      </c>
    </row>
    <row r="12" spans="2:14" x14ac:dyDescent="0.25">
      <c r="D12" s="38"/>
      <c r="E12" s="38"/>
      <c r="F12" s="38"/>
      <c r="G12" s="38"/>
      <c r="H12" s="38"/>
      <c r="I12" s="45" t="s">
        <v>236</v>
      </c>
      <c r="N12" s="28" t="s">
        <v>237</v>
      </c>
    </row>
    <row r="13" spans="2:14" x14ac:dyDescent="0.25">
      <c r="D13" s="38"/>
      <c r="E13" s="34"/>
      <c r="F13" s="34"/>
      <c r="G13" s="34"/>
      <c r="H13" s="34"/>
      <c r="I13" s="34"/>
    </row>
    <row r="14" spans="2:14" s="1" customFormat="1" x14ac:dyDescent="0.25">
      <c r="B14" s="1" t="s">
        <v>86</v>
      </c>
      <c r="D14" s="35"/>
      <c r="E14" s="35"/>
      <c r="F14" s="35"/>
      <c r="G14" s="35"/>
      <c r="H14" s="35"/>
      <c r="I14" s="35"/>
    </row>
    <row r="15" spans="2:14" x14ac:dyDescent="0.25">
      <c r="B15" s="1" t="s">
        <v>87</v>
      </c>
      <c r="D15" s="38"/>
      <c r="E15" s="38"/>
      <c r="F15" s="38"/>
      <c r="G15" s="38"/>
      <c r="H15" s="38"/>
      <c r="I15" s="38"/>
    </row>
    <row r="16" spans="2:14" x14ac:dyDescent="0.25">
      <c r="B16" t="s">
        <v>39</v>
      </c>
      <c r="D16" s="38">
        <f>'Operating Assumtions'!$D$57*D6</f>
        <v>0.15</v>
      </c>
      <c r="E16" s="38">
        <f>'Operating Assumtions'!$D$57*E6</f>
        <v>0.24899999999999997</v>
      </c>
      <c r="F16" s="38">
        <f>'Operating Assumtions'!$D$57*F6</f>
        <v>0.45899999999999996</v>
      </c>
      <c r="G16" s="38">
        <f>'Operating Assumtions'!$D$57*G6</f>
        <v>0.75600000000000001</v>
      </c>
      <c r="H16" s="38">
        <f>'Operating Assumtions'!$D$57*H6</f>
        <v>1.32</v>
      </c>
      <c r="I16" s="38">
        <f>'Operating Assumtions'!$D$57*I6</f>
        <v>1.9799999999999998</v>
      </c>
    </row>
    <row r="17" spans="2:9" x14ac:dyDescent="0.25">
      <c r="B17" t="s">
        <v>40</v>
      </c>
      <c r="D17" s="38">
        <f>'Operating Assumtions'!$D$59*D7</f>
        <v>0.84</v>
      </c>
      <c r="E17" s="38">
        <f>'Operating Assumtions'!$D$59*E7</f>
        <v>1.1850000000000001</v>
      </c>
      <c r="F17" s="38">
        <f>'Operating Assumtions'!$D$59*F7</f>
        <v>1.8359999999999999</v>
      </c>
      <c r="G17" s="38">
        <f>'Operating Assumtions'!$D$59*G7</f>
        <v>2.73</v>
      </c>
      <c r="H17" s="38">
        <f>'Operating Assumtions'!$D$59*H7</f>
        <v>4.0919999999999996</v>
      </c>
      <c r="I17" s="38">
        <f>'Operating Assumtions'!$D$59*I7</f>
        <v>5.22</v>
      </c>
    </row>
    <row r="18" spans="2:9" x14ac:dyDescent="0.25">
      <c r="B18" t="s">
        <v>41</v>
      </c>
      <c r="D18" s="38">
        <f>'Operating Assumtions'!$D$58*D9</f>
        <v>1.4999999999999999E-2</v>
      </c>
      <c r="E18" s="38">
        <f>'Operating Assumtions'!$D$58*E9</f>
        <v>3.3000000000000002E-2</v>
      </c>
      <c r="F18" s="38">
        <f>'Operating Assumtions'!$D$58*F9</f>
        <v>5.3999999999999999E-2</v>
      </c>
      <c r="G18" s="38">
        <f>'Operating Assumtions'!$D$58*G9</f>
        <v>8.4000000000000005E-2</v>
      </c>
      <c r="H18" s="38">
        <f>'Operating Assumtions'!$D$58*H9</f>
        <v>0.13200000000000001</v>
      </c>
      <c r="I18" s="38">
        <f>'Operating Assumtions'!$D$58*I9</f>
        <v>0.18</v>
      </c>
    </row>
    <row r="19" spans="2:9" x14ac:dyDescent="0.25">
      <c r="B19" t="s">
        <v>16</v>
      </c>
      <c r="D19" s="38">
        <f>'Operating Assumtions'!$D$90*D8</f>
        <v>0</v>
      </c>
      <c r="E19" s="38">
        <f>'Operating Assumtions'!$D$90*E8</f>
        <v>0.11050000000000001</v>
      </c>
      <c r="F19" s="38">
        <f>'Operating Assumtions'!$D$90*F8</f>
        <v>0.29250000000000004</v>
      </c>
      <c r="G19" s="38">
        <f>'Operating Assumtions'!$D$90*G8</f>
        <v>0.54600000000000004</v>
      </c>
      <c r="H19" s="38">
        <f>'Operating Assumtions'!$D$90*H8</f>
        <v>1.0010000000000001</v>
      </c>
      <c r="I19" s="38">
        <f>'Operating Assumtions'!$D$90*I8</f>
        <v>1.56</v>
      </c>
    </row>
    <row r="20" spans="2:9" x14ac:dyDescent="0.25">
      <c r="B20" t="s">
        <v>42</v>
      </c>
      <c r="D20" s="38">
        <f>'Operating Assumtions'!$D$60/10^7</f>
        <v>0.01</v>
      </c>
      <c r="E20" s="38">
        <f>D20*(1+'Operating Assumtions'!$D$80)</f>
        <v>1.1000000000000001E-2</v>
      </c>
      <c r="F20" s="38">
        <f>E20*(1+'Operating Assumtions'!$D$80)</f>
        <v>1.2100000000000001E-2</v>
      </c>
      <c r="G20" s="38">
        <f>F20*(1+'Operating Assumtions'!$D$80)</f>
        <v>1.3310000000000002E-2</v>
      </c>
      <c r="H20" s="38">
        <f>G20*(1+'Operating Assumtions'!$D$80)</f>
        <v>1.4641000000000003E-2</v>
      </c>
      <c r="I20" s="38">
        <f>H20*(1+'Operating Assumtions'!$D$80)</f>
        <v>1.6105100000000004E-2</v>
      </c>
    </row>
    <row r="21" spans="2:9" x14ac:dyDescent="0.25">
      <c r="B21" t="s">
        <v>43</v>
      </c>
      <c r="D21" s="38">
        <f>'Operating Assumtions'!$D$61/10^7</f>
        <v>0.06</v>
      </c>
      <c r="E21" s="38">
        <f>D21*(1+'Operating Assumtions'!$D$80)</f>
        <v>6.6000000000000003E-2</v>
      </c>
      <c r="F21" s="38">
        <f>E21*(1+'Operating Assumtions'!$D$80)</f>
        <v>7.2600000000000012E-2</v>
      </c>
      <c r="G21" s="38">
        <f>F21*(1+'Operating Assumtions'!$D$80)</f>
        <v>7.9860000000000014E-2</v>
      </c>
      <c r="H21" s="38">
        <f>G21*(1+'Operating Assumtions'!$D$80)</f>
        <v>8.7846000000000021E-2</v>
      </c>
      <c r="I21" s="38">
        <f>H21*(1+'Operating Assumtions'!$D$80)</f>
        <v>9.6630600000000025E-2</v>
      </c>
    </row>
    <row r="22" spans="2:9" ht="15.75" thickBot="1" x14ac:dyDescent="0.3">
      <c r="D22" s="39">
        <f>D17+D18+D19+D20+D21</f>
        <v>0.92500000000000004</v>
      </c>
      <c r="E22" s="39">
        <f t="shared" ref="E22:I22" si="1">E17+E18+E19+E20+E21</f>
        <v>1.4055</v>
      </c>
      <c r="F22" s="39">
        <f t="shared" si="1"/>
        <v>2.2672000000000003</v>
      </c>
      <c r="G22" s="39">
        <f t="shared" si="1"/>
        <v>3.4531700000000005</v>
      </c>
      <c r="H22" s="39">
        <f t="shared" si="1"/>
        <v>5.3274869999999996</v>
      </c>
      <c r="I22" s="39">
        <f t="shared" si="1"/>
        <v>7.0727356999999991</v>
      </c>
    </row>
    <row r="23" spans="2:9" x14ac:dyDescent="0.25">
      <c r="B23" s="1" t="s">
        <v>21</v>
      </c>
      <c r="D23" s="38"/>
      <c r="E23" s="38"/>
      <c r="F23" s="38"/>
      <c r="G23" s="38"/>
      <c r="H23" s="38"/>
      <c r="I23" s="38"/>
    </row>
    <row r="24" spans="2:9" x14ac:dyDescent="0.25">
      <c r="B24" t="s">
        <v>44</v>
      </c>
      <c r="D24" s="38">
        <v>0.75</v>
      </c>
      <c r="E24" s="38">
        <f>D24*1.25</f>
        <v>0.9375</v>
      </c>
      <c r="F24" s="38">
        <f t="shared" ref="F24:I24" si="2">E24*1.25</f>
        <v>1.171875</v>
      </c>
      <c r="G24" s="38">
        <f t="shared" si="2"/>
        <v>1.46484375</v>
      </c>
      <c r="H24" s="38">
        <f t="shared" si="2"/>
        <v>1.8310546875</v>
      </c>
      <c r="I24" s="38">
        <f t="shared" si="2"/>
        <v>2.288818359375</v>
      </c>
    </row>
    <row r="25" spans="2:9" x14ac:dyDescent="0.25">
      <c r="B25" t="s">
        <v>231</v>
      </c>
      <c r="D25" s="38">
        <v>0.7</v>
      </c>
      <c r="E25" s="38">
        <f>D25*1.1</f>
        <v>0.77</v>
      </c>
      <c r="F25" s="38">
        <f t="shared" ref="F25:I25" si="3">E25*1.1</f>
        <v>0.84700000000000009</v>
      </c>
      <c r="G25" s="38">
        <f t="shared" si="3"/>
        <v>0.93170000000000019</v>
      </c>
      <c r="H25" s="38">
        <f t="shared" si="3"/>
        <v>1.0248700000000004</v>
      </c>
      <c r="I25" s="38">
        <f t="shared" si="3"/>
        <v>1.1273570000000006</v>
      </c>
    </row>
    <row r="26" spans="2:9" x14ac:dyDescent="0.25">
      <c r="B26" t="s">
        <v>46</v>
      </c>
      <c r="D26" s="38">
        <v>0.01</v>
      </c>
      <c r="E26" s="38">
        <f>D26*(1+'Operating Assumtions'!$D$80)</f>
        <v>1.1000000000000001E-2</v>
      </c>
      <c r="F26" s="38">
        <f>E26*(1+'Operating Assumtions'!$D$80)</f>
        <v>1.2100000000000001E-2</v>
      </c>
      <c r="G26" s="38">
        <f>F26*(1+'Operating Assumtions'!$D$80)</f>
        <v>1.3310000000000002E-2</v>
      </c>
      <c r="H26" s="38">
        <f>G26*(1+'Operating Assumtions'!$D$80)</f>
        <v>1.4641000000000003E-2</v>
      </c>
      <c r="I26" s="38">
        <f>H26*(1+'Operating Assumtions'!$D$80)</f>
        <v>1.6105100000000004E-2</v>
      </c>
    </row>
    <row r="27" spans="2:9" x14ac:dyDescent="0.25">
      <c r="B27" t="s">
        <v>88</v>
      </c>
      <c r="D27" s="38">
        <v>0.04</v>
      </c>
      <c r="E27" s="38">
        <f>D27*(1+'Operating Assumtions'!$D$80)</f>
        <v>4.4000000000000004E-2</v>
      </c>
      <c r="F27" s="38">
        <f>E27*(1+'Operating Assumtions'!$D$80)</f>
        <v>4.8400000000000006E-2</v>
      </c>
      <c r="G27" s="38">
        <f>F27*(1+'Operating Assumtions'!$D$80)</f>
        <v>5.324000000000001E-2</v>
      </c>
      <c r="H27" s="38">
        <f>G27*(1+'Operating Assumtions'!$D$80)</f>
        <v>5.8564000000000012E-2</v>
      </c>
      <c r="I27" s="38">
        <f>H27*(1+'Operating Assumtions'!$D$80)</f>
        <v>6.4420400000000017E-2</v>
      </c>
    </row>
    <row r="28" spans="2:9" x14ac:dyDescent="0.25">
      <c r="B28" t="s">
        <v>48</v>
      </c>
      <c r="D28" s="38">
        <v>0.02</v>
      </c>
      <c r="E28" s="38">
        <f>D28*(1+'Operating Assumtions'!$D$80)</f>
        <v>2.2000000000000002E-2</v>
      </c>
      <c r="F28" s="38">
        <f>E28*(1+'Operating Assumtions'!$D$80)</f>
        <v>2.4200000000000003E-2</v>
      </c>
      <c r="G28" s="38">
        <f>F28*(1+'Operating Assumtions'!$D$80)</f>
        <v>2.6620000000000005E-2</v>
      </c>
      <c r="H28" s="38">
        <f>G28*(1+'Operating Assumtions'!$D$80)</f>
        <v>2.9282000000000006E-2</v>
      </c>
      <c r="I28" s="38">
        <f>H28*(1+'Operating Assumtions'!$D$80)</f>
        <v>3.2210200000000008E-2</v>
      </c>
    </row>
    <row r="29" spans="2:9" x14ac:dyDescent="0.25">
      <c r="B29" t="s">
        <v>49</v>
      </c>
      <c r="D29" s="38">
        <v>0.05</v>
      </c>
      <c r="E29" s="38">
        <f>D29*(1+'Operating Assumtions'!$D$80)</f>
        <v>5.5000000000000007E-2</v>
      </c>
      <c r="F29" s="38">
        <f>E29*(1+'Operating Assumtions'!$D$80)</f>
        <v>6.0500000000000012E-2</v>
      </c>
      <c r="G29" s="38">
        <f>F29*(1+'Operating Assumtions'!$D$80)</f>
        <v>6.6550000000000012E-2</v>
      </c>
      <c r="H29" s="38">
        <f>G29*(1+'Operating Assumtions'!$D$80)</f>
        <v>7.320500000000002E-2</v>
      </c>
      <c r="I29" s="38">
        <f>H29*(1+'Operating Assumtions'!$D$80)</f>
        <v>8.0525500000000028E-2</v>
      </c>
    </row>
    <row r="30" spans="2:9" x14ac:dyDescent="0.25">
      <c r="B30" t="s">
        <v>50</v>
      </c>
      <c r="D30" s="38">
        <v>0.03</v>
      </c>
      <c r="E30" s="38">
        <f>D30*(1+'Operating Assumtions'!$D$80)</f>
        <v>3.3000000000000002E-2</v>
      </c>
      <c r="F30" s="38">
        <f>E30*(1+'Operating Assumtions'!$D$80)</f>
        <v>3.6300000000000006E-2</v>
      </c>
      <c r="G30" s="38">
        <f>F30*(1+'Operating Assumtions'!$D$80)</f>
        <v>3.9930000000000007E-2</v>
      </c>
      <c r="H30" s="38">
        <f>G30*(1+'Operating Assumtions'!$D$80)</f>
        <v>4.3923000000000011E-2</v>
      </c>
      <c r="I30" s="38">
        <f>H30*(1+'Operating Assumtions'!$D$80)</f>
        <v>4.8315300000000012E-2</v>
      </c>
    </row>
    <row r="31" spans="2:9" x14ac:dyDescent="0.25">
      <c r="B31" t="s">
        <v>89</v>
      </c>
      <c r="D31" s="38">
        <f>'Operating Assumtions'!$D$70*SUM(D6:D10)</f>
        <v>7.0999999999999994E-2</v>
      </c>
      <c r="E31" s="38">
        <f>'Operating Assumtions'!$D$70*SUM(E6:E10)</f>
        <v>0.11000000000000001</v>
      </c>
      <c r="F31" s="38">
        <f>'Operating Assumtions'!$D$70*SUM(F6:F10)</f>
        <v>0.18</v>
      </c>
      <c r="G31" s="38">
        <f>'Operating Assumtions'!$D$70*SUM(G6:G10)</f>
        <v>0.27999999999999997</v>
      </c>
      <c r="H31" s="38">
        <f>'Operating Assumtions'!$D$70*SUM(H6:H10)</f>
        <v>0.44</v>
      </c>
      <c r="I31" s="38">
        <f>'Operating Assumtions'!$D$70*SUM(I6:I10)</f>
        <v>0.6</v>
      </c>
    </row>
    <row r="32" spans="2:9" ht="15.75" thickBot="1" x14ac:dyDescent="0.3">
      <c r="D32" s="39">
        <f>D24+D25+D26+D27+D28+D29+D30+D31</f>
        <v>1.671</v>
      </c>
      <c r="E32" s="39">
        <f t="shared" ref="E32:I32" si="4">E24+E25+E26+E27+E28+E29+E30+E31</f>
        <v>1.9824999999999999</v>
      </c>
      <c r="F32" s="39">
        <f t="shared" si="4"/>
        <v>2.3803750000000008</v>
      </c>
      <c r="G32" s="39">
        <f t="shared" si="4"/>
        <v>2.8761937500000001</v>
      </c>
      <c r="H32" s="39">
        <f t="shared" si="4"/>
        <v>3.5155396875000005</v>
      </c>
      <c r="I32" s="39">
        <f t="shared" si="4"/>
        <v>4.2577518593750012</v>
      </c>
    </row>
    <row r="33" spans="2:9" x14ac:dyDescent="0.25">
      <c r="B33" s="1" t="s">
        <v>51</v>
      </c>
      <c r="D33" s="38"/>
      <c r="E33" s="38"/>
      <c r="F33" s="38"/>
      <c r="G33" s="38"/>
      <c r="H33" s="38"/>
      <c r="I33" s="38"/>
    </row>
    <row r="34" spans="2:9" x14ac:dyDescent="0.25">
      <c r="B34" t="s">
        <v>52</v>
      </c>
      <c r="D34" s="38">
        <f>'Operating Assumtions'!D91*SUM(D6:D10)</f>
        <v>1.2070000000000001</v>
      </c>
      <c r="E34" s="38">
        <f>'Operating Assumtions'!E91*SUM(E6:E10)</f>
        <v>1.6500000000000001</v>
      </c>
      <c r="F34" s="38">
        <f>'Operating Assumtions'!F91*SUM(F6:F10)</f>
        <v>2.34</v>
      </c>
      <c r="G34" s="38">
        <f>'Operating Assumtions'!G91*SUM(G6:G10)</f>
        <v>3.0799999999999996</v>
      </c>
      <c r="H34" s="38">
        <f>'Operating Assumtions'!H91*SUM(H6:H10)</f>
        <v>3.96</v>
      </c>
      <c r="I34" s="38">
        <f>'Operating Assumtions'!I91*SUM(I6:I10)</f>
        <v>4.5</v>
      </c>
    </row>
    <row r="35" spans="2:9" x14ac:dyDescent="0.25">
      <c r="B35" t="s">
        <v>53</v>
      </c>
      <c r="D35" s="38">
        <f>'Operating Assumtions'!$D$75*D34</f>
        <v>6.0350000000000008E-2</v>
      </c>
      <c r="E35" s="38">
        <f>'Operating Assumtions'!$D$75*E34</f>
        <v>8.2500000000000018E-2</v>
      </c>
      <c r="F35" s="38">
        <f>'Operating Assumtions'!$D$75*F34</f>
        <v>0.11699999999999999</v>
      </c>
      <c r="G35" s="38">
        <f>'Operating Assumtions'!$D$75*G34</f>
        <v>0.154</v>
      </c>
      <c r="H35" s="38">
        <f>'Operating Assumtions'!$D$75*H34</f>
        <v>0.19800000000000001</v>
      </c>
      <c r="I35" s="38">
        <f>'Operating Assumtions'!$D$75*I34</f>
        <v>0.22500000000000001</v>
      </c>
    </row>
    <row r="36" spans="2:9" ht="15.75" thickBot="1" x14ac:dyDescent="0.3">
      <c r="D36" s="39">
        <f>D34+D35</f>
        <v>1.26735</v>
      </c>
      <c r="E36" s="39">
        <f t="shared" ref="E36:I36" si="5">E34+E35</f>
        <v>1.7325000000000002</v>
      </c>
      <c r="F36" s="39">
        <f t="shared" si="5"/>
        <v>2.4569999999999999</v>
      </c>
      <c r="G36" s="39">
        <f t="shared" si="5"/>
        <v>3.2339999999999995</v>
      </c>
      <c r="H36" s="39">
        <f t="shared" si="5"/>
        <v>4.1580000000000004</v>
      </c>
      <c r="I36" s="39">
        <f t="shared" si="5"/>
        <v>4.7249999999999996</v>
      </c>
    </row>
    <row r="37" spans="2:9" x14ac:dyDescent="0.25">
      <c r="B37" s="1" t="s">
        <v>54</v>
      </c>
      <c r="D37" s="38"/>
      <c r="E37" s="38"/>
      <c r="F37" s="38"/>
      <c r="G37" s="38"/>
      <c r="H37" s="38"/>
      <c r="I37" s="38"/>
    </row>
    <row r="38" spans="2:9" x14ac:dyDescent="0.25">
      <c r="B38" t="s">
        <v>90</v>
      </c>
      <c r="D38" s="38">
        <f>0.12*(D24+D25)</f>
        <v>0.17399999999999999</v>
      </c>
      <c r="E38" s="38">
        <f t="shared" ref="E38:I38" si="6">0.12*(E24+E25)</f>
        <v>0.2049</v>
      </c>
      <c r="F38" s="38">
        <f t="shared" si="6"/>
        <v>0.24226499999999998</v>
      </c>
      <c r="G38" s="38">
        <f t="shared" si="6"/>
        <v>0.28758525000000001</v>
      </c>
      <c r="H38" s="38">
        <f t="shared" si="6"/>
        <v>0.34271096250000005</v>
      </c>
      <c r="I38" s="38">
        <f t="shared" si="6"/>
        <v>0.40994104312500007</v>
      </c>
    </row>
    <row r="39" spans="2:9" x14ac:dyDescent="0.25">
      <c r="B39" t="s">
        <v>55</v>
      </c>
      <c r="D39" s="38">
        <f>0.03*(D24+D25)</f>
        <v>4.3499999999999997E-2</v>
      </c>
      <c r="E39" s="38">
        <f t="shared" ref="E39:I39" si="7">0.03*(E24+E25)</f>
        <v>5.1225E-2</v>
      </c>
      <c r="F39" s="38">
        <f t="shared" si="7"/>
        <v>6.0566249999999995E-2</v>
      </c>
      <c r="G39" s="38">
        <f t="shared" si="7"/>
        <v>7.1896312500000004E-2</v>
      </c>
      <c r="H39" s="38">
        <f t="shared" si="7"/>
        <v>8.5677740625000012E-2</v>
      </c>
      <c r="I39" s="38">
        <f t="shared" si="7"/>
        <v>0.10248526078125002</v>
      </c>
    </row>
    <row r="40" spans="2:9" ht="15.75" thickBot="1" x14ac:dyDescent="0.3">
      <c r="D40" s="39">
        <f>D38+D39</f>
        <v>0.21749999999999997</v>
      </c>
      <c r="E40" s="39">
        <f t="shared" ref="E40:I40" si="8">E38+E39</f>
        <v>0.25612499999999999</v>
      </c>
      <c r="F40" s="39">
        <f t="shared" si="8"/>
        <v>0.30283125</v>
      </c>
      <c r="G40" s="39">
        <f t="shared" si="8"/>
        <v>0.35948156250000002</v>
      </c>
      <c r="H40" s="39">
        <f t="shared" si="8"/>
        <v>0.42838870312500005</v>
      </c>
      <c r="I40" s="39">
        <f t="shared" si="8"/>
        <v>0.5124263039062501</v>
      </c>
    </row>
    <row r="43" spans="2:9" x14ac:dyDescent="0.25">
      <c r="B43" t="s">
        <v>225</v>
      </c>
      <c r="D43">
        <v>30</v>
      </c>
    </row>
    <row r="44" spans="2:9" x14ac:dyDescent="0.25">
      <c r="B44" t="s">
        <v>226</v>
      </c>
      <c r="D44" s="24">
        <f>I22+I32+I36+I40</f>
        <v>16.567913863281252</v>
      </c>
      <c r="E44" s="28" t="s">
        <v>232</v>
      </c>
    </row>
    <row r="45" spans="2:9" x14ac:dyDescent="0.25">
      <c r="D45" s="26">
        <f>D43-D44</f>
        <v>13.432086136718748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C382-1C39-4003-87FD-ACDC3D66C66F}">
  <dimension ref="B1:I29"/>
  <sheetViews>
    <sheetView topLeftCell="A3" workbookViewId="0">
      <pane ySplit="3" topLeftCell="A6" activePane="bottomLeft" state="frozen"/>
      <selection activeCell="A3" sqref="A3"/>
      <selection pane="bottomLeft" activeCell="F17" sqref="F17"/>
    </sheetView>
  </sheetViews>
  <sheetFormatPr defaultRowHeight="15" x14ac:dyDescent="0.25"/>
  <cols>
    <col min="1" max="1" width="1.7109375" customWidth="1"/>
    <col min="2" max="2" width="47.42578125" bestFit="1" customWidth="1"/>
  </cols>
  <sheetData>
    <row r="1" spans="2:9" x14ac:dyDescent="0.25">
      <c r="B1" s="1" t="s">
        <v>81</v>
      </c>
    </row>
    <row r="3" spans="2:9" x14ac:dyDescent="0.25">
      <c r="B3" s="4" t="str">
        <f>"Fixed Asset Schedule"&amp;" - "&amp;B1</f>
        <v>Fixed Asset Schedule - HRDYAM</v>
      </c>
    </row>
    <row r="5" spans="2:9" s="1" customFormat="1" x14ac:dyDescent="0.25">
      <c r="B5" s="2" t="s">
        <v>0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</row>
    <row r="6" spans="2:9" x14ac:dyDescent="0.25">
      <c r="B6" s="1" t="s">
        <v>138</v>
      </c>
    </row>
    <row r="7" spans="2:9" x14ac:dyDescent="0.25">
      <c r="B7" t="s">
        <v>139</v>
      </c>
      <c r="D7">
        <f>'Financial Assumptions'!$D$43</f>
        <v>0.65</v>
      </c>
      <c r="E7">
        <f>D7</f>
        <v>0.65</v>
      </c>
      <c r="F7">
        <f t="shared" ref="F7:H7" si="0">E7</f>
        <v>0.65</v>
      </c>
      <c r="G7">
        <f t="shared" si="0"/>
        <v>0.65</v>
      </c>
      <c r="H7">
        <f t="shared" si="0"/>
        <v>0.65</v>
      </c>
    </row>
    <row r="8" spans="2:9" x14ac:dyDescent="0.25">
      <c r="B8" t="s">
        <v>78</v>
      </c>
      <c r="D8">
        <v>0</v>
      </c>
      <c r="E8">
        <f>D8</f>
        <v>0</v>
      </c>
      <c r="F8">
        <v>0.12</v>
      </c>
      <c r="G8">
        <f t="shared" ref="G8:H8" si="1">F8</f>
        <v>0.12</v>
      </c>
      <c r="H8">
        <f t="shared" si="1"/>
        <v>0.12</v>
      </c>
    </row>
    <row r="9" spans="2:9" x14ac:dyDescent="0.25">
      <c r="B9" t="s">
        <v>140</v>
      </c>
      <c r="C9" s="28" t="s">
        <v>229</v>
      </c>
      <c r="D9">
        <f>'Financial Assumptions'!$D$44</f>
        <v>1.85</v>
      </c>
      <c r="E9">
        <f>D9</f>
        <v>1.85</v>
      </c>
      <c r="F9">
        <f t="shared" ref="F9:H9" si="2">E9</f>
        <v>1.85</v>
      </c>
      <c r="G9">
        <f t="shared" si="2"/>
        <v>1.85</v>
      </c>
      <c r="H9">
        <f t="shared" si="2"/>
        <v>1.85</v>
      </c>
    </row>
    <row r="10" spans="2:9" ht="15.75" thickBot="1" x14ac:dyDescent="0.3">
      <c r="B10" s="1" t="s">
        <v>79</v>
      </c>
      <c r="D10" s="27">
        <f>SUM(D7:D9)</f>
        <v>2.5</v>
      </c>
      <c r="E10" s="27">
        <f t="shared" ref="E10:H10" si="3">SUM(E7:E9)</f>
        <v>2.5</v>
      </c>
      <c r="F10" s="27">
        <f t="shared" si="3"/>
        <v>2.62</v>
      </c>
      <c r="G10" s="27">
        <f t="shared" si="3"/>
        <v>2.62</v>
      </c>
      <c r="H10" s="27">
        <f t="shared" si="3"/>
        <v>2.62</v>
      </c>
    </row>
    <row r="13" spans="2:9" x14ac:dyDescent="0.25">
      <c r="B13" s="1" t="s">
        <v>141</v>
      </c>
      <c r="C13" s="28" t="s">
        <v>228</v>
      </c>
    </row>
    <row r="14" spans="2:9" x14ac:dyDescent="0.25">
      <c r="B14" t="s">
        <v>139</v>
      </c>
      <c r="D14">
        <v>0.06</v>
      </c>
      <c r="E14">
        <v>0.06</v>
      </c>
      <c r="F14">
        <v>0.06</v>
      </c>
      <c r="G14">
        <v>0.06</v>
      </c>
      <c r="H14">
        <v>0.06</v>
      </c>
    </row>
    <row r="15" spans="2:9" x14ac:dyDescent="0.25">
      <c r="B15" t="s">
        <v>142</v>
      </c>
      <c r="D15">
        <v>0</v>
      </c>
      <c r="E15">
        <v>0</v>
      </c>
      <c r="F15">
        <v>0</v>
      </c>
      <c r="G15">
        <v>0</v>
      </c>
      <c r="H15">
        <v>0</v>
      </c>
      <c r="I15" s="28" t="s">
        <v>230</v>
      </c>
    </row>
    <row r="16" spans="2:9" x14ac:dyDescent="0.25">
      <c r="B16" t="s">
        <v>140</v>
      </c>
      <c r="D16">
        <v>0.17</v>
      </c>
      <c r="E16">
        <v>0.17</v>
      </c>
      <c r="F16">
        <v>0.17</v>
      </c>
      <c r="G16">
        <v>0.17</v>
      </c>
      <c r="H16">
        <v>0.17</v>
      </c>
    </row>
    <row r="17" spans="2:8" ht="15.75" thickBot="1" x14ac:dyDescent="0.3">
      <c r="B17" s="1" t="s">
        <v>79</v>
      </c>
      <c r="D17" s="27">
        <f>SUM(D14:D16)</f>
        <v>0.23</v>
      </c>
      <c r="E17" s="27">
        <f t="shared" ref="E17:H17" si="4">SUM(E14:E16)</f>
        <v>0.23</v>
      </c>
      <c r="F17" s="27">
        <f t="shared" si="4"/>
        <v>0.23</v>
      </c>
      <c r="G17" s="27">
        <f t="shared" si="4"/>
        <v>0.23</v>
      </c>
      <c r="H17" s="27">
        <f t="shared" si="4"/>
        <v>0.23</v>
      </c>
    </row>
    <row r="19" spans="2:8" x14ac:dyDescent="0.25">
      <c r="B19" s="1" t="s">
        <v>143</v>
      </c>
    </row>
    <row r="20" spans="2:8" x14ac:dyDescent="0.25">
      <c r="B20" t="s">
        <v>139</v>
      </c>
      <c r="D20">
        <f>D14</f>
        <v>0.06</v>
      </c>
      <c r="E20">
        <f>D20+D14</f>
        <v>0.12</v>
      </c>
      <c r="F20">
        <f t="shared" ref="F20:H20" si="5">E20+E14</f>
        <v>0.18</v>
      </c>
      <c r="G20">
        <f t="shared" si="5"/>
        <v>0.24</v>
      </c>
      <c r="H20">
        <f t="shared" si="5"/>
        <v>0.3</v>
      </c>
    </row>
    <row r="21" spans="2:8" x14ac:dyDescent="0.25">
      <c r="B21" t="s">
        <v>142</v>
      </c>
      <c r="D21">
        <f>D15</f>
        <v>0</v>
      </c>
      <c r="E21">
        <f>D21+D15</f>
        <v>0</v>
      </c>
      <c r="F21">
        <f t="shared" ref="F21:H21" si="6">E21+E15</f>
        <v>0</v>
      </c>
      <c r="G21">
        <f t="shared" si="6"/>
        <v>0</v>
      </c>
      <c r="H21">
        <f t="shared" si="6"/>
        <v>0</v>
      </c>
    </row>
    <row r="22" spans="2:8" x14ac:dyDescent="0.25">
      <c r="B22" t="s">
        <v>140</v>
      </c>
      <c r="D22">
        <f>D16</f>
        <v>0.17</v>
      </c>
      <c r="E22">
        <f>D22+D16</f>
        <v>0.34</v>
      </c>
      <c r="F22">
        <f t="shared" ref="F22:H22" si="7">E22+E16</f>
        <v>0.51</v>
      </c>
      <c r="G22">
        <f t="shared" si="7"/>
        <v>0.68</v>
      </c>
      <c r="H22">
        <f t="shared" si="7"/>
        <v>0.85000000000000009</v>
      </c>
    </row>
    <row r="23" spans="2:8" ht="15.75" thickBot="1" x14ac:dyDescent="0.3">
      <c r="B23" s="1" t="s">
        <v>79</v>
      </c>
      <c r="D23" s="27">
        <f>SUM(D20:D22)</f>
        <v>0.23</v>
      </c>
      <c r="E23" s="27">
        <f t="shared" ref="E23:H23" si="8">SUM(E20:E22)</f>
        <v>0.46</v>
      </c>
      <c r="F23" s="27">
        <f t="shared" si="8"/>
        <v>0.69</v>
      </c>
      <c r="G23" s="27">
        <f t="shared" si="8"/>
        <v>0.92</v>
      </c>
      <c r="H23" s="27">
        <f t="shared" si="8"/>
        <v>1.1500000000000001</v>
      </c>
    </row>
    <row r="25" spans="2:8" x14ac:dyDescent="0.25">
      <c r="B25" s="1" t="s">
        <v>144</v>
      </c>
    </row>
    <row r="26" spans="2:8" x14ac:dyDescent="0.25">
      <c r="B26" t="s">
        <v>139</v>
      </c>
      <c r="D26">
        <f t="shared" ref="D26:H28" si="9">D7-D20</f>
        <v>0.59000000000000008</v>
      </c>
      <c r="E26">
        <f t="shared" si="9"/>
        <v>0.53</v>
      </c>
      <c r="F26">
        <f t="shared" si="9"/>
        <v>0.47000000000000003</v>
      </c>
      <c r="G26">
        <f t="shared" si="9"/>
        <v>0.41000000000000003</v>
      </c>
      <c r="H26">
        <f t="shared" si="9"/>
        <v>0.35000000000000003</v>
      </c>
    </row>
    <row r="27" spans="2:8" x14ac:dyDescent="0.25">
      <c r="B27" t="s">
        <v>142</v>
      </c>
      <c r="D27">
        <f t="shared" si="9"/>
        <v>0</v>
      </c>
      <c r="E27">
        <f t="shared" si="9"/>
        <v>0</v>
      </c>
      <c r="F27">
        <f t="shared" si="9"/>
        <v>0.12</v>
      </c>
      <c r="G27">
        <f t="shared" si="9"/>
        <v>0.12</v>
      </c>
      <c r="H27">
        <f t="shared" si="9"/>
        <v>0.12</v>
      </c>
    </row>
    <row r="28" spans="2:8" x14ac:dyDescent="0.25">
      <c r="B28" t="s">
        <v>140</v>
      </c>
      <c r="D28">
        <f t="shared" si="9"/>
        <v>1.6800000000000002</v>
      </c>
      <c r="E28">
        <f t="shared" si="9"/>
        <v>1.51</v>
      </c>
      <c r="F28">
        <f t="shared" si="9"/>
        <v>1.34</v>
      </c>
      <c r="G28">
        <f t="shared" si="9"/>
        <v>1.17</v>
      </c>
      <c r="H28">
        <f t="shared" si="9"/>
        <v>1</v>
      </c>
    </row>
    <row r="29" spans="2:8" ht="15.75" thickBot="1" x14ac:dyDescent="0.3">
      <c r="B29" s="1" t="s">
        <v>79</v>
      </c>
      <c r="D29" s="27">
        <f>SUM(D26:D28)</f>
        <v>2.2700000000000005</v>
      </c>
      <c r="E29" s="27">
        <f t="shared" ref="E29:H29" si="10">SUM(E26:E28)</f>
        <v>2.04</v>
      </c>
      <c r="F29" s="27">
        <f t="shared" si="10"/>
        <v>1.9300000000000002</v>
      </c>
      <c r="G29" s="27">
        <f t="shared" si="10"/>
        <v>1.7</v>
      </c>
      <c r="H29" s="27">
        <f t="shared" si="10"/>
        <v>1.47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E166-60AF-4402-9228-D8946C8FC74B}">
  <dimension ref="B1:E50"/>
  <sheetViews>
    <sheetView workbookViewId="0">
      <pane ySplit="4" topLeftCell="A5" activePane="bottomLeft" state="frozen"/>
      <selection pane="bottomLeft" activeCell="H55" sqref="H55"/>
    </sheetView>
  </sheetViews>
  <sheetFormatPr defaultRowHeight="15" x14ac:dyDescent="0.25"/>
  <cols>
    <col min="1" max="1" width="1.7109375" customWidth="1"/>
    <col min="2" max="2" width="56.140625" bestFit="1" customWidth="1"/>
  </cols>
  <sheetData>
    <row r="1" spans="2:4" x14ac:dyDescent="0.25">
      <c r="B1" s="1" t="s">
        <v>81</v>
      </c>
    </row>
    <row r="3" spans="2:4" x14ac:dyDescent="0.25">
      <c r="B3" s="4" t="str">
        <f>"Financial Assumptions"&amp;" - "&amp;B1</f>
        <v>Financial Assumptions - HRDYAM</v>
      </c>
    </row>
    <row r="4" spans="2:4" x14ac:dyDescent="0.25">
      <c r="B4" s="2" t="s">
        <v>0</v>
      </c>
    </row>
    <row r="5" spans="2:4" x14ac:dyDescent="0.25">
      <c r="B5" s="1" t="s">
        <v>145</v>
      </c>
      <c r="D5">
        <f>D21</f>
        <v>8.5499999999999989</v>
      </c>
    </row>
    <row r="6" spans="2:4" x14ac:dyDescent="0.25">
      <c r="B6" s="1" t="s">
        <v>19</v>
      </c>
    </row>
    <row r="7" spans="2:4" x14ac:dyDescent="0.25">
      <c r="B7" t="s">
        <v>20</v>
      </c>
      <c r="D7">
        <v>0.15</v>
      </c>
    </row>
    <row r="8" spans="2:4" x14ac:dyDescent="0.25">
      <c r="B8" s="1" t="s">
        <v>21</v>
      </c>
    </row>
    <row r="9" spans="2:4" x14ac:dyDescent="0.25">
      <c r="B9" t="s">
        <v>146</v>
      </c>
      <c r="D9">
        <v>1.8</v>
      </c>
    </row>
    <row r="10" spans="2:4" x14ac:dyDescent="0.25">
      <c r="B10" t="s">
        <v>147</v>
      </c>
      <c r="D10">
        <v>0.1</v>
      </c>
    </row>
    <row r="11" spans="2:4" x14ac:dyDescent="0.25">
      <c r="B11" t="s">
        <v>148</v>
      </c>
      <c r="D11">
        <v>0.2</v>
      </c>
    </row>
    <row r="12" spans="2:4" x14ac:dyDescent="0.25">
      <c r="B12" t="s">
        <v>149</v>
      </c>
      <c r="D12">
        <v>0.1</v>
      </c>
    </row>
    <row r="13" spans="2:4" x14ac:dyDescent="0.25">
      <c r="B13" t="s">
        <v>150</v>
      </c>
      <c r="D13">
        <v>0.3</v>
      </c>
    </row>
    <row r="14" spans="2:4" x14ac:dyDescent="0.25">
      <c r="B14" s="1" t="s">
        <v>22</v>
      </c>
    </row>
    <row r="15" spans="2:4" x14ac:dyDescent="0.25">
      <c r="B15" t="s">
        <v>151</v>
      </c>
      <c r="D15">
        <v>1.2</v>
      </c>
    </row>
    <row r="16" spans="2:4" x14ac:dyDescent="0.25">
      <c r="B16" t="s">
        <v>152</v>
      </c>
      <c r="D16">
        <v>1.6</v>
      </c>
    </row>
    <row r="17" spans="2:4" x14ac:dyDescent="0.25">
      <c r="B17" t="s">
        <v>153</v>
      </c>
      <c r="D17">
        <v>2.2000000000000002</v>
      </c>
    </row>
    <row r="18" spans="2:4" x14ac:dyDescent="0.25">
      <c r="B18" t="s">
        <v>23</v>
      </c>
      <c r="D18">
        <v>0.3</v>
      </c>
    </row>
    <row r="19" spans="2:4" x14ac:dyDescent="0.25">
      <c r="B19" t="s">
        <v>154</v>
      </c>
      <c r="D19">
        <v>0.6</v>
      </c>
    </row>
    <row r="20" spans="2:4" x14ac:dyDescent="0.25">
      <c r="B20" t="s">
        <v>24</v>
      </c>
      <c r="D20">
        <v>0</v>
      </c>
    </row>
    <row r="21" spans="2:4" ht="15.75" thickBot="1" x14ac:dyDescent="0.3">
      <c r="B21" s="1" t="s">
        <v>155</v>
      </c>
      <c r="D21" s="27">
        <f>D7+D9+D10+D11+D12+D13+D15+D16+D17+D18+D19+D20</f>
        <v>8.5499999999999989</v>
      </c>
    </row>
    <row r="23" spans="2:4" x14ac:dyDescent="0.25">
      <c r="B23" s="1" t="s">
        <v>156</v>
      </c>
    </row>
    <row r="24" spans="2:4" x14ac:dyDescent="0.25">
      <c r="B24" t="s">
        <v>25</v>
      </c>
      <c r="D24">
        <f>D21</f>
        <v>8.5499999999999989</v>
      </c>
    </row>
    <row r="25" spans="2:4" x14ac:dyDescent="0.25">
      <c r="B25" t="s">
        <v>157</v>
      </c>
      <c r="D25">
        <v>0</v>
      </c>
    </row>
    <row r="26" spans="2:4" x14ac:dyDescent="0.25">
      <c r="B26" t="s">
        <v>158</v>
      </c>
      <c r="D26">
        <f>D21</f>
        <v>8.5499999999999989</v>
      </c>
    </row>
    <row r="27" spans="2:4" ht="15.75" thickBot="1" x14ac:dyDescent="0.3">
      <c r="B27" s="1" t="s">
        <v>159</v>
      </c>
      <c r="D27" s="27">
        <f>D24+D25</f>
        <v>8.5499999999999989</v>
      </c>
    </row>
    <row r="29" spans="2:4" x14ac:dyDescent="0.25">
      <c r="B29" s="1" t="s">
        <v>26</v>
      </c>
      <c r="D29" s="1">
        <f>D24</f>
        <v>8.5499999999999989</v>
      </c>
    </row>
    <row r="30" spans="2:4" x14ac:dyDescent="0.25">
      <c r="B30" t="s">
        <v>160</v>
      </c>
      <c r="D30">
        <f>0.5*D29</f>
        <v>4.2749999999999995</v>
      </c>
    </row>
    <row r="31" spans="2:4" x14ac:dyDescent="0.25">
      <c r="B31" t="s">
        <v>27</v>
      </c>
      <c r="D31">
        <f>D29-D30</f>
        <v>4.2749999999999995</v>
      </c>
    </row>
    <row r="33" spans="2:5" x14ac:dyDescent="0.25">
      <c r="B33" s="1" t="s">
        <v>161</v>
      </c>
    </row>
    <row r="34" spans="2:5" x14ac:dyDescent="0.25">
      <c r="B34" t="s">
        <v>162</v>
      </c>
      <c r="D34">
        <v>0.15</v>
      </c>
    </row>
    <row r="35" spans="2:5" x14ac:dyDescent="0.25">
      <c r="B35" t="s">
        <v>163</v>
      </c>
      <c r="D35">
        <v>0.3</v>
      </c>
    </row>
    <row r="36" spans="2:5" x14ac:dyDescent="0.25">
      <c r="B36" t="s">
        <v>28</v>
      </c>
      <c r="D36">
        <v>1.8</v>
      </c>
    </row>
    <row r="37" spans="2:5" x14ac:dyDescent="0.25">
      <c r="B37" t="s">
        <v>29</v>
      </c>
      <c r="D37">
        <v>0</v>
      </c>
    </row>
    <row r="38" spans="2:5" x14ac:dyDescent="0.25">
      <c r="B38" t="s">
        <v>30</v>
      </c>
      <c r="D38">
        <v>0.02</v>
      </c>
    </row>
    <row r="39" spans="2:5" x14ac:dyDescent="0.25">
      <c r="B39" t="s">
        <v>164</v>
      </c>
      <c r="D39">
        <v>0.05</v>
      </c>
    </row>
    <row r="40" spans="2:5" x14ac:dyDescent="0.25">
      <c r="B40" t="s">
        <v>31</v>
      </c>
      <c r="D40">
        <v>0.03</v>
      </c>
    </row>
    <row r="41" spans="2:5" x14ac:dyDescent="0.25">
      <c r="B41" t="s">
        <v>32</v>
      </c>
      <c r="D41">
        <v>0.05</v>
      </c>
    </row>
    <row r="42" spans="2:5" ht="15.75" thickBot="1" x14ac:dyDescent="0.3">
      <c r="B42" t="s">
        <v>165</v>
      </c>
      <c r="D42" s="14">
        <v>0.1</v>
      </c>
    </row>
    <row r="43" spans="2:5" ht="15.75" thickBot="1" x14ac:dyDescent="0.3">
      <c r="B43" s="1" t="s">
        <v>220</v>
      </c>
      <c r="D43" s="46">
        <f>D34+D35+D37+D38+D39+D40+D42</f>
        <v>0.65</v>
      </c>
    </row>
    <row r="44" spans="2:5" ht="15.75" thickBot="1" x14ac:dyDescent="0.3">
      <c r="B44" s="1" t="s">
        <v>221</v>
      </c>
      <c r="D44" s="47">
        <f>D36+D41</f>
        <v>1.85</v>
      </c>
    </row>
    <row r="45" spans="2:5" x14ac:dyDescent="0.25">
      <c r="B45" s="1" t="s">
        <v>166</v>
      </c>
      <c r="D45" s="1">
        <v>0.11</v>
      </c>
    </row>
    <row r="46" spans="2:5" x14ac:dyDescent="0.25">
      <c r="B46" t="s">
        <v>33</v>
      </c>
      <c r="D46">
        <v>0</v>
      </c>
      <c r="E46" t="s">
        <v>34</v>
      </c>
    </row>
    <row r="47" spans="2:5" x14ac:dyDescent="0.25">
      <c r="B47" t="s">
        <v>35</v>
      </c>
      <c r="D47">
        <v>0</v>
      </c>
      <c r="E47" t="s">
        <v>36</v>
      </c>
    </row>
    <row r="48" spans="2:5" x14ac:dyDescent="0.25">
      <c r="B48" t="s">
        <v>37</v>
      </c>
      <c r="D48">
        <v>0</v>
      </c>
      <c r="E48" t="s">
        <v>34</v>
      </c>
    </row>
    <row r="49" spans="2:5" x14ac:dyDescent="0.25">
      <c r="B49" t="s">
        <v>167</v>
      </c>
      <c r="D49">
        <v>0</v>
      </c>
      <c r="E49" t="s">
        <v>38</v>
      </c>
    </row>
    <row r="50" spans="2:5" x14ac:dyDescent="0.25">
      <c r="B50" t="s">
        <v>168</v>
      </c>
      <c r="D50">
        <v>2</v>
      </c>
      <c r="E50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3DAF-8A29-4C42-B2D1-C990E8C69F29}">
  <dimension ref="A1:H23"/>
  <sheetViews>
    <sheetView workbookViewId="0">
      <pane ySplit="5" topLeftCell="A6" activePane="bottomLeft" state="frozen"/>
      <selection pane="bottomLeft" activeCell="K23" sqref="K23"/>
    </sheetView>
  </sheetViews>
  <sheetFormatPr defaultRowHeight="15" x14ac:dyDescent="0.25"/>
  <cols>
    <col min="1" max="1" width="1.7109375" customWidth="1"/>
    <col min="2" max="2" width="29.42578125" bestFit="1" customWidth="1"/>
    <col min="4" max="8" width="9.5703125" bestFit="1" customWidth="1"/>
  </cols>
  <sheetData>
    <row r="1" spans="1:8" x14ac:dyDescent="0.25">
      <c r="B1" s="1" t="s">
        <v>81</v>
      </c>
    </row>
    <row r="3" spans="1:8" x14ac:dyDescent="0.25">
      <c r="B3" s="4" t="str">
        <f>"Working Capital"&amp;" - "&amp;B1</f>
        <v>Working Capital - HRDYAM</v>
      </c>
    </row>
    <row r="5" spans="1:8" s="1" customFormat="1" x14ac:dyDescent="0.25">
      <c r="B5" s="2" t="s">
        <v>0</v>
      </c>
      <c r="C5" s="2"/>
      <c r="D5" s="2">
        <v>2026</v>
      </c>
      <c r="E5" s="2">
        <v>2027</v>
      </c>
      <c r="F5" s="2">
        <v>2028</v>
      </c>
      <c r="G5" s="2">
        <v>2029</v>
      </c>
      <c r="H5" s="2">
        <v>2030</v>
      </c>
    </row>
    <row r="6" spans="1:8" x14ac:dyDescent="0.25">
      <c r="A6" s="1"/>
      <c r="B6" s="1" t="s">
        <v>72</v>
      </c>
      <c r="D6" t="e">
        <f>'Operating Assumtions'!#REF!/365*'Revene &amp; Cost Sheet'!D8</f>
        <v>#REF!</v>
      </c>
      <c r="E6" s="33" t="e">
        <f>'Operating Assumtions'!#REF!/365*'Revene &amp; Cost Sheet'!E8</f>
        <v>#REF!</v>
      </c>
      <c r="F6" s="33" t="e">
        <f>'Operating Assumtions'!#REF!/365*'Revene &amp; Cost Sheet'!F8</f>
        <v>#REF!</v>
      </c>
      <c r="G6" s="33" t="e">
        <f>'Operating Assumtions'!#REF!/365*'Revene &amp; Cost Sheet'!G8</f>
        <v>#REF!</v>
      </c>
      <c r="H6" s="33" t="e">
        <f>'Operating Assumtions'!#REF!/365*'Revene &amp; Cost Sheet'!H8</f>
        <v>#REF!</v>
      </c>
    </row>
    <row r="7" spans="1:8" x14ac:dyDescent="0.25">
      <c r="B7" t="s">
        <v>16</v>
      </c>
      <c r="D7">
        <v>0</v>
      </c>
      <c r="E7" s="33">
        <v>1.3972999999999999E-2</v>
      </c>
      <c r="F7" s="33">
        <v>3.6985999999999998E-2</v>
      </c>
      <c r="G7" s="33">
        <v>6.9041000000000005E-2</v>
      </c>
      <c r="H7" s="33">
        <v>0.12657499999999999</v>
      </c>
    </row>
    <row r="8" spans="1:8" ht="15.75" thickBot="1" x14ac:dyDescent="0.3">
      <c r="B8" s="1" t="s">
        <v>109</v>
      </c>
      <c r="D8" s="32">
        <v>0</v>
      </c>
      <c r="E8" s="32">
        <v>1.3972999999999999E-2</v>
      </c>
      <c r="F8" s="32">
        <v>3.6985999999999998E-2</v>
      </c>
      <c r="G8" s="32">
        <v>6.9041000000000005E-2</v>
      </c>
      <c r="H8" s="32">
        <v>0.12657499999999999</v>
      </c>
    </row>
    <row r="9" spans="1:8" x14ac:dyDescent="0.25">
      <c r="D9" s="33"/>
      <c r="E9" s="33"/>
      <c r="F9" s="33"/>
      <c r="G9" s="33"/>
      <c r="H9" s="33"/>
    </row>
    <row r="10" spans="1:8" x14ac:dyDescent="0.25">
      <c r="B10" s="1" t="s">
        <v>121</v>
      </c>
      <c r="D10" s="33"/>
      <c r="E10" s="33"/>
      <c r="F10" s="33"/>
      <c r="G10" s="33"/>
      <c r="H10" s="33"/>
    </row>
    <row r="11" spans="1:8" x14ac:dyDescent="0.25">
      <c r="B11" t="s">
        <v>223</v>
      </c>
      <c r="D11" s="38">
        <f>20/365*'Income Statement'!D8*0.4</f>
        <v>2.3561643835616437E-2</v>
      </c>
      <c r="E11" s="38">
        <f>20/365*'Income Statement'!E8*0.4</f>
        <v>3.626301369863013E-2</v>
      </c>
      <c r="F11" s="38">
        <f>20/365*'Income Statement'!F8*0.4</f>
        <v>5.9752328767123289E-2</v>
      </c>
      <c r="G11" s="38">
        <f>20/365*'Income Statement'!G8*0.4</f>
        <v>9.2255780821917793E-2</v>
      </c>
      <c r="H11" s="38">
        <f>20/365*'Income Statement'!H8*0.4</f>
        <v>0.14569834520547945</v>
      </c>
    </row>
    <row r="12" spans="1:8" x14ac:dyDescent="0.25">
      <c r="B12" t="s">
        <v>12</v>
      </c>
      <c r="D12" s="38">
        <f>20/365*'Income Statement'!D9*0.4</f>
        <v>5.4246575342465742E-2</v>
      </c>
      <c r="E12" s="38">
        <f>20/365*'Income Statement'!E9*0.4</f>
        <v>8.4284931506849348E-2</v>
      </c>
      <c r="F12" s="38">
        <f>20/365*'Income Statement'!F9*0.4</f>
        <v>0.13750794520547946</v>
      </c>
      <c r="G12" s="38">
        <f>20/365*'Income Statement'!G9*0.4</f>
        <v>0.21459353424657535</v>
      </c>
      <c r="H12" s="38">
        <f>20/365*'Income Statement'!H9*0.4</f>
        <v>0.33649343561643835</v>
      </c>
    </row>
    <row r="13" spans="1:8" x14ac:dyDescent="0.25">
      <c r="B13" t="s">
        <v>169</v>
      </c>
      <c r="D13" s="38">
        <f>20/365*'Income Statement'!D10*0.4</f>
        <v>4.7671232876712322E-3</v>
      </c>
      <c r="E13" s="38">
        <f>20/365*'Income Statement'!E10*0.4</f>
        <v>5.6136986301369863E-3</v>
      </c>
      <c r="F13" s="38">
        <f>20/365*'Income Statement'!F10*0.4</f>
        <v>6.6373972602739723E-3</v>
      </c>
      <c r="G13" s="38">
        <f>20/365*'Income Statement'!G10*0.4</f>
        <v>7.87904794520548E-3</v>
      </c>
      <c r="H13" s="38">
        <f>20/365*'Income Statement'!H10*0.4</f>
        <v>9.3893414383561663E-3</v>
      </c>
    </row>
    <row r="14" spans="1:8" x14ac:dyDescent="0.25">
      <c r="B14" t="s">
        <v>16</v>
      </c>
      <c r="D14" s="38">
        <f>20/365*'Income Statement'!D11*0.4</f>
        <v>2.7777534246575343E-2</v>
      </c>
      <c r="E14" s="38">
        <f>20/365*'Income Statement'!E11*0.4</f>
        <v>3.7972602739726032E-2</v>
      </c>
      <c r="F14" s="38">
        <f>20/365*'Income Statement'!F11*0.4</f>
        <v>5.3852054794520543E-2</v>
      </c>
      <c r="G14" s="38">
        <f>20/365*'Income Statement'!G11*0.4</f>
        <v>7.0882191780821904E-2</v>
      </c>
      <c r="H14" s="38">
        <f>20/365*'Income Statement'!H11*0.4</f>
        <v>9.113424657534247E-2</v>
      </c>
    </row>
    <row r="15" spans="1:8" ht="15.75" thickBot="1" x14ac:dyDescent="0.3">
      <c r="B15" s="1" t="s">
        <v>170</v>
      </c>
      <c r="D15" s="39">
        <f>SUM(D11:D14)</f>
        <v>0.11035287671232874</v>
      </c>
      <c r="E15" s="39">
        <f t="shared" ref="E15:H15" si="0">SUM(E11:E14)</f>
        <v>0.16413424657534251</v>
      </c>
      <c r="F15" s="39">
        <f t="shared" si="0"/>
        <v>0.25774972602739726</v>
      </c>
      <c r="G15" s="39">
        <f t="shared" si="0"/>
        <v>0.3856105547945205</v>
      </c>
      <c r="H15" s="39">
        <f t="shared" si="0"/>
        <v>0.58271536883561648</v>
      </c>
    </row>
    <row r="16" spans="1:8" x14ac:dyDescent="0.25">
      <c r="D16" s="33"/>
      <c r="E16" s="33"/>
      <c r="F16" s="33"/>
      <c r="G16" s="33"/>
      <c r="H16" s="33"/>
    </row>
    <row r="17" spans="2:8" ht="15.75" thickBot="1" x14ac:dyDescent="0.3">
      <c r="B17" s="1" t="s">
        <v>171</v>
      </c>
      <c r="D17" s="39">
        <f>D8+D15</f>
        <v>0.11035287671232874</v>
      </c>
      <c r="E17" s="39">
        <f t="shared" ref="E17:H17" si="1">E8+E15</f>
        <v>0.17810724657534249</v>
      </c>
      <c r="F17" s="39">
        <f t="shared" si="1"/>
        <v>0.29473572602739728</v>
      </c>
      <c r="G17" s="39">
        <f t="shared" si="1"/>
        <v>0.45465155479452052</v>
      </c>
      <c r="H17" s="39">
        <f t="shared" si="1"/>
        <v>0.70929036883561647</v>
      </c>
    </row>
    <row r="18" spans="2:8" x14ac:dyDescent="0.25">
      <c r="D18" s="38"/>
      <c r="E18" s="38"/>
      <c r="F18" s="38"/>
      <c r="G18" s="38"/>
      <c r="H18" s="38"/>
    </row>
    <row r="19" spans="2:8" x14ac:dyDescent="0.25">
      <c r="B19" t="s">
        <v>172</v>
      </c>
      <c r="D19" s="38">
        <f>0.25*D17</f>
        <v>2.7588219178082185E-2</v>
      </c>
      <c r="E19" s="38">
        <f t="shared" ref="E19:H19" si="2">0.25*E17</f>
        <v>4.4526811643835623E-2</v>
      </c>
      <c r="F19" s="38">
        <f t="shared" si="2"/>
        <v>7.3683931506849321E-2</v>
      </c>
      <c r="G19" s="38">
        <f t="shared" si="2"/>
        <v>0.11366288869863013</v>
      </c>
      <c r="H19" s="38">
        <f t="shared" si="2"/>
        <v>0.17732259220890412</v>
      </c>
    </row>
    <row r="20" spans="2:8" x14ac:dyDescent="0.25">
      <c r="B20" t="s">
        <v>100</v>
      </c>
      <c r="D20" s="38">
        <f>'Income Statement'!D16/0.12</f>
        <v>0</v>
      </c>
      <c r="E20" s="38">
        <f>'Income Statement'!E16/0.12</f>
        <v>0.5</v>
      </c>
      <c r="F20" s="38">
        <f>'Income Statement'!F16/0.12</f>
        <v>1.6666666666666667</v>
      </c>
      <c r="G20" s="38">
        <f>'Income Statement'!G16/0.12</f>
        <v>3.9166666666666665</v>
      </c>
      <c r="H20" s="38">
        <f>'Income Statement'!H16/0.12</f>
        <v>7.7500000000000009</v>
      </c>
    </row>
    <row r="21" spans="2:8" x14ac:dyDescent="0.25">
      <c r="B21" t="s">
        <v>173</v>
      </c>
      <c r="D21" s="38">
        <f>0.12*D20</f>
        <v>0</v>
      </c>
      <c r="E21" s="38">
        <f t="shared" ref="E21:H21" si="3">0.12*E20</f>
        <v>0.06</v>
      </c>
      <c r="F21" s="38">
        <f t="shared" si="3"/>
        <v>0.2</v>
      </c>
      <c r="G21" s="38">
        <f t="shared" si="3"/>
        <v>0.47</v>
      </c>
      <c r="H21" s="38">
        <f t="shared" si="3"/>
        <v>0.93</v>
      </c>
    </row>
    <row r="22" spans="2:8" x14ac:dyDescent="0.25">
      <c r="D22" s="38"/>
      <c r="E22" s="38"/>
      <c r="F22" s="38"/>
      <c r="G22" s="38"/>
      <c r="H22" s="38"/>
    </row>
    <row r="23" spans="2:8" x14ac:dyDescent="0.25">
      <c r="B23" s="1" t="s">
        <v>174</v>
      </c>
      <c r="D23" s="38">
        <f>D19*(0.25/0.75)</f>
        <v>9.1960730593607272E-3</v>
      </c>
      <c r="E23" s="38">
        <f t="shared" ref="E23:H23" si="4">E19*(0.25/0.75)</f>
        <v>1.4842270547945208E-2</v>
      </c>
      <c r="F23" s="38">
        <f t="shared" si="4"/>
        <v>2.4561310502283107E-2</v>
      </c>
      <c r="G23" s="38">
        <f t="shared" si="4"/>
        <v>3.7887629566210043E-2</v>
      </c>
      <c r="H23" s="38">
        <f t="shared" si="4"/>
        <v>5.9107530736301372E-2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9BBB-A86F-40A3-8860-D01BD49206B0}">
  <dimension ref="B1:P91"/>
  <sheetViews>
    <sheetView tabSelected="1" topLeftCell="A87" workbookViewId="0">
      <selection activeCell="H53" sqref="H53"/>
    </sheetView>
  </sheetViews>
  <sheetFormatPr defaultRowHeight="15" x14ac:dyDescent="0.25"/>
  <cols>
    <col min="1" max="1" width="1.7109375" customWidth="1"/>
    <col min="2" max="2" width="31.85546875" bestFit="1" customWidth="1"/>
    <col min="4" max="4" width="14.28515625" bestFit="1" customWidth="1"/>
    <col min="5" max="5" width="17.42578125" bestFit="1" customWidth="1"/>
  </cols>
  <sheetData>
    <row r="1" spans="2:16" x14ac:dyDescent="0.25">
      <c r="B1" s="1" t="s">
        <v>81</v>
      </c>
    </row>
    <row r="3" spans="2:16" x14ac:dyDescent="0.25">
      <c r="B3" s="4" t="str">
        <f>"Operating Assumptions"&amp;" - "&amp;B1</f>
        <v>Operating Assumptions - HRDYAM</v>
      </c>
    </row>
    <row r="4" spans="2:16" x14ac:dyDescent="0.25">
      <c r="B4" s="2" t="s">
        <v>0</v>
      </c>
    </row>
    <row r="5" spans="2:16" s="1" customFormat="1" x14ac:dyDescent="0.25">
      <c r="B5" s="20"/>
      <c r="C5" s="21" t="s">
        <v>56</v>
      </c>
      <c r="D5" s="21" t="s">
        <v>57</v>
      </c>
      <c r="E5" s="21" t="s">
        <v>58</v>
      </c>
      <c r="F5" s="21" t="s">
        <v>59</v>
      </c>
      <c r="G5" s="21" t="s">
        <v>60</v>
      </c>
      <c r="H5" s="21" t="s">
        <v>61</v>
      </c>
      <c r="I5" s="21" t="s">
        <v>62</v>
      </c>
      <c r="J5" s="21" t="s">
        <v>63</v>
      </c>
      <c r="K5" s="21" t="s">
        <v>64</v>
      </c>
      <c r="L5" s="21" t="s">
        <v>65</v>
      </c>
      <c r="M5" s="21" t="s">
        <v>66</v>
      </c>
      <c r="N5" s="21" t="s">
        <v>67</v>
      </c>
      <c r="O5" s="22" t="s">
        <v>68</v>
      </c>
    </row>
    <row r="6" spans="2:16" x14ac:dyDescent="0.25">
      <c r="B6" s="18">
        <v>2026</v>
      </c>
      <c r="C6" s="29"/>
      <c r="D6" s="29"/>
      <c r="E6" s="29"/>
      <c r="F6" s="29"/>
      <c r="G6">
        <v>36</v>
      </c>
      <c r="H6">
        <v>38</v>
      </c>
      <c r="I6">
        <v>40</v>
      </c>
      <c r="J6">
        <v>42</v>
      </c>
      <c r="K6">
        <v>44</v>
      </c>
      <c r="L6">
        <v>46</v>
      </c>
      <c r="M6">
        <v>48</v>
      </c>
      <c r="N6">
        <v>50</v>
      </c>
      <c r="O6" s="30">
        <f>AVERAGE(C6:N6)</f>
        <v>43</v>
      </c>
    </row>
    <row r="7" spans="2:16" x14ac:dyDescent="0.25">
      <c r="B7" s="18">
        <v>2027</v>
      </c>
      <c r="C7">
        <v>52</v>
      </c>
      <c r="D7">
        <v>54</v>
      </c>
      <c r="E7">
        <v>56</v>
      </c>
      <c r="F7">
        <v>58</v>
      </c>
      <c r="G7">
        <v>60</v>
      </c>
      <c r="H7">
        <v>62</v>
      </c>
      <c r="I7">
        <v>64</v>
      </c>
      <c r="J7">
        <v>66</v>
      </c>
      <c r="K7">
        <v>68</v>
      </c>
      <c r="L7">
        <v>70</v>
      </c>
      <c r="M7">
        <v>72</v>
      </c>
      <c r="N7">
        <v>74</v>
      </c>
      <c r="O7" s="30">
        <f>AVERAGE(C7:N7)</f>
        <v>63</v>
      </c>
    </row>
    <row r="8" spans="2:16" x14ac:dyDescent="0.25">
      <c r="B8" s="18">
        <v>2028</v>
      </c>
      <c r="C8">
        <v>276</v>
      </c>
      <c r="D8">
        <v>478</v>
      </c>
      <c r="E8">
        <v>680</v>
      </c>
      <c r="F8">
        <v>882</v>
      </c>
      <c r="G8">
        <v>1084</v>
      </c>
      <c r="H8">
        <v>1286</v>
      </c>
      <c r="I8">
        <v>1488</v>
      </c>
      <c r="J8">
        <v>1690</v>
      </c>
      <c r="K8">
        <v>1892</v>
      </c>
      <c r="L8">
        <v>2094</v>
      </c>
      <c r="M8">
        <v>2296</v>
      </c>
      <c r="N8">
        <v>2498</v>
      </c>
      <c r="O8" s="30">
        <f>AVERAGE(C8:N8)</f>
        <v>1387</v>
      </c>
    </row>
    <row r="9" spans="2:16" x14ac:dyDescent="0.25">
      <c r="B9" s="18">
        <v>2029</v>
      </c>
      <c r="C9">
        <v>26100</v>
      </c>
      <c r="D9">
        <v>28120</v>
      </c>
      <c r="E9">
        <v>30140</v>
      </c>
      <c r="F9">
        <v>32160</v>
      </c>
      <c r="G9">
        <v>34180</v>
      </c>
      <c r="H9">
        <v>36200</v>
      </c>
      <c r="I9">
        <v>38220</v>
      </c>
      <c r="J9">
        <v>40240</v>
      </c>
      <c r="K9">
        <v>42260</v>
      </c>
      <c r="L9">
        <v>44280</v>
      </c>
      <c r="M9">
        <v>46300</v>
      </c>
      <c r="N9">
        <v>48320</v>
      </c>
      <c r="O9" s="30">
        <f>AVERAGE(C9:N9)</f>
        <v>37210</v>
      </c>
    </row>
    <row r="10" spans="2:16" x14ac:dyDescent="0.25">
      <c r="B10" s="19">
        <v>2030</v>
      </c>
      <c r="C10" s="16">
        <v>50340</v>
      </c>
      <c r="D10" s="16">
        <v>52360</v>
      </c>
      <c r="E10" s="16">
        <v>54380</v>
      </c>
      <c r="F10" s="16">
        <v>56400</v>
      </c>
      <c r="G10" s="16">
        <v>58420</v>
      </c>
      <c r="H10" s="16">
        <v>60440</v>
      </c>
      <c r="I10" s="16">
        <v>62460</v>
      </c>
      <c r="J10" s="16">
        <v>64480</v>
      </c>
      <c r="K10" s="16">
        <v>66500</v>
      </c>
      <c r="L10" s="16">
        <v>68520</v>
      </c>
      <c r="M10" s="16">
        <v>70540</v>
      </c>
      <c r="N10" s="16">
        <v>72560</v>
      </c>
      <c r="O10" s="31">
        <f>AVERAGE(C10:N10)</f>
        <v>61450</v>
      </c>
    </row>
    <row r="12" spans="2:16" s="1" customFormat="1" x14ac:dyDescent="0.25">
      <c r="B12" s="20"/>
      <c r="C12" s="21" t="s">
        <v>69</v>
      </c>
      <c r="D12" s="21" t="s">
        <v>215</v>
      </c>
      <c r="E12" s="22" t="s">
        <v>70</v>
      </c>
      <c r="H12" s="28" t="s">
        <v>239</v>
      </c>
      <c r="I12" s="28"/>
      <c r="J12" s="28"/>
      <c r="K12" s="28"/>
      <c r="L12" s="28"/>
      <c r="M12" s="28"/>
      <c r="N12" s="28"/>
      <c r="O12" s="28"/>
      <c r="P12" s="28"/>
    </row>
    <row r="13" spans="2:16" x14ac:dyDescent="0.25">
      <c r="B13" s="18">
        <v>2026</v>
      </c>
      <c r="C13">
        <v>200</v>
      </c>
      <c r="D13">
        <v>25</v>
      </c>
      <c r="E13" s="15">
        <v>22</v>
      </c>
      <c r="H13" s="28" t="s">
        <v>240</v>
      </c>
      <c r="I13" s="28"/>
      <c r="J13" s="28"/>
      <c r="K13" s="28"/>
      <c r="L13" s="28"/>
      <c r="M13" s="28"/>
      <c r="N13" s="28"/>
      <c r="O13" s="28"/>
      <c r="P13" s="28"/>
    </row>
    <row r="14" spans="2:16" x14ac:dyDescent="0.25">
      <c r="B14" s="18">
        <v>2027</v>
      </c>
      <c r="C14">
        <v>220</v>
      </c>
      <c r="D14">
        <v>30</v>
      </c>
      <c r="E14" s="15">
        <v>23</v>
      </c>
    </row>
    <row r="15" spans="2:16" x14ac:dyDescent="0.25">
      <c r="B15" s="18">
        <v>2028</v>
      </c>
      <c r="C15">
        <v>230</v>
      </c>
      <c r="D15">
        <v>35</v>
      </c>
      <c r="E15" s="15">
        <v>24</v>
      </c>
    </row>
    <row r="16" spans="2:16" x14ac:dyDescent="0.25">
      <c r="B16" s="18">
        <v>2029</v>
      </c>
      <c r="C16">
        <v>240</v>
      </c>
      <c r="D16">
        <v>40</v>
      </c>
      <c r="E16" s="15">
        <v>25</v>
      </c>
    </row>
    <row r="17" spans="2:5" x14ac:dyDescent="0.25">
      <c r="B17" s="19">
        <v>2030</v>
      </c>
      <c r="C17" s="16">
        <v>250</v>
      </c>
      <c r="D17" s="16">
        <v>45</v>
      </c>
      <c r="E17" s="17">
        <v>25</v>
      </c>
    </row>
    <row r="20" spans="2:5" x14ac:dyDescent="0.25">
      <c r="B20" t="s">
        <v>71</v>
      </c>
      <c r="D20" s="24">
        <v>0.5</v>
      </c>
    </row>
    <row r="22" spans="2:5" x14ac:dyDescent="0.25">
      <c r="D22" s="1" t="s">
        <v>217</v>
      </c>
      <c r="E22" s="1"/>
    </row>
    <row r="23" spans="2:5" x14ac:dyDescent="0.25">
      <c r="B23" t="s">
        <v>175</v>
      </c>
      <c r="D23" s="24">
        <v>0.5</v>
      </c>
    </row>
    <row r="24" spans="2:5" x14ac:dyDescent="0.25">
      <c r="B24" t="s">
        <v>176</v>
      </c>
      <c r="D24" s="24">
        <v>0</v>
      </c>
      <c r="E24" s="12"/>
    </row>
    <row r="25" spans="2:5" x14ac:dyDescent="0.25">
      <c r="B25" t="s">
        <v>177</v>
      </c>
      <c r="D25" s="24">
        <v>0</v>
      </c>
    </row>
    <row r="26" spans="2:5" x14ac:dyDescent="0.25">
      <c r="B26" t="s">
        <v>12</v>
      </c>
      <c r="D26" s="24">
        <v>1.5</v>
      </c>
      <c r="E26" s="12"/>
    </row>
    <row r="27" spans="2:5" x14ac:dyDescent="0.25">
      <c r="B27" t="s">
        <v>178</v>
      </c>
      <c r="D27" s="24">
        <v>0</v>
      </c>
      <c r="E27" s="11"/>
    </row>
    <row r="28" spans="2:5" x14ac:dyDescent="0.25">
      <c r="B28" t="s">
        <v>13</v>
      </c>
      <c r="D28" s="24">
        <v>0.05</v>
      </c>
      <c r="E28" s="12"/>
    </row>
    <row r="29" spans="2:5" x14ac:dyDescent="0.25">
      <c r="B29" t="s">
        <v>14</v>
      </c>
      <c r="D29" s="24">
        <v>0</v>
      </c>
    </row>
    <row r="30" spans="2:5" x14ac:dyDescent="0.25">
      <c r="B30" t="s">
        <v>179</v>
      </c>
      <c r="D30" s="24">
        <v>0.2</v>
      </c>
    </row>
    <row r="31" spans="2:5" x14ac:dyDescent="0.25">
      <c r="B31" t="s">
        <v>180</v>
      </c>
      <c r="D31" s="24">
        <v>0.3</v>
      </c>
    </row>
    <row r="32" spans="2:5" x14ac:dyDescent="0.25">
      <c r="B32" t="s">
        <v>15</v>
      </c>
      <c r="D32" s="24">
        <v>1</v>
      </c>
    </row>
    <row r="33" spans="2:5" x14ac:dyDescent="0.25">
      <c r="B33" t="s">
        <v>16</v>
      </c>
      <c r="D33" s="24">
        <v>0</v>
      </c>
      <c r="E33" s="12"/>
    </row>
    <row r="34" spans="2:5" x14ac:dyDescent="0.25">
      <c r="B34" t="s">
        <v>181</v>
      </c>
      <c r="D34" s="24">
        <v>0</v>
      </c>
    </row>
    <row r="35" spans="2:5" x14ac:dyDescent="0.25">
      <c r="B35" t="s">
        <v>17</v>
      </c>
      <c r="D35" s="24">
        <v>0</v>
      </c>
      <c r="E35" s="12"/>
    </row>
    <row r="37" spans="2:5" x14ac:dyDescent="0.25">
      <c r="B37" s="1" t="s">
        <v>182</v>
      </c>
    </row>
    <row r="38" spans="2:5" x14ac:dyDescent="0.25">
      <c r="B38" t="s">
        <v>183</v>
      </c>
      <c r="D38">
        <v>20</v>
      </c>
    </row>
    <row r="39" spans="2:5" x14ac:dyDescent="0.25">
      <c r="B39" t="s">
        <v>184</v>
      </c>
      <c r="D39">
        <v>12</v>
      </c>
    </row>
    <row r="40" spans="2:5" x14ac:dyDescent="0.25">
      <c r="B40" t="s">
        <v>185</v>
      </c>
      <c r="D40" s="12">
        <v>0.4</v>
      </c>
    </row>
    <row r="41" spans="2:5" x14ac:dyDescent="0.25">
      <c r="B41" t="s">
        <v>186</v>
      </c>
      <c r="D41">
        <v>99</v>
      </c>
    </row>
    <row r="42" spans="2:5" x14ac:dyDescent="0.25">
      <c r="B42" t="s">
        <v>187</v>
      </c>
      <c r="D42">
        <v>24</v>
      </c>
    </row>
    <row r="43" spans="2:5" x14ac:dyDescent="0.25">
      <c r="B43" t="s">
        <v>216</v>
      </c>
      <c r="D43">
        <v>200</v>
      </c>
    </row>
    <row r="45" spans="2:5" x14ac:dyDescent="0.25">
      <c r="B45" s="1" t="s">
        <v>188</v>
      </c>
    </row>
    <row r="46" spans="2:5" x14ac:dyDescent="0.25">
      <c r="B46" t="s">
        <v>73</v>
      </c>
    </row>
    <row r="47" spans="2:5" x14ac:dyDescent="0.25">
      <c r="B47" t="s">
        <v>74</v>
      </c>
    </row>
    <row r="48" spans="2:5" x14ac:dyDescent="0.25">
      <c r="B48" t="s">
        <v>75</v>
      </c>
    </row>
    <row r="49" spans="2:4" x14ac:dyDescent="0.25">
      <c r="B49" t="s">
        <v>76</v>
      </c>
    </row>
    <row r="51" spans="2:4" x14ac:dyDescent="0.25">
      <c r="B51" s="1" t="s">
        <v>189</v>
      </c>
    </row>
    <row r="52" spans="2:4" x14ac:dyDescent="0.25">
      <c r="B52" t="s">
        <v>190</v>
      </c>
      <c r="D52">
        <v>30</v>
      </c>
    </row>
    <row r="53" spans="2:4" x14ac:dyDescent="0.25">
      <c r="B53" t="s">
        <v>191</v>
      </c>
      <c r="D53">
        <v>15</v>
      </c>
    </row>
    <row r="54" spans="2:4" x14ac:dyDescent="0.25">
      <c r="B54" t="s">
        <v>192</v>
      </c>
      <c r="D54">
        <v>15</v>
      </c>
    </row>
    <row r="56" spans="2:4" x14ac:dyDescent="0.25">
      <c r="B56" s="1" t="s">
        <v>87</v>
      </c>
    </row>
    <row r="57" spans="2:4" x14ac:dyDescent="0.25">
      <c r="B57" t="s">
        <v>39</v>
      </c>
      <c r="D57" s="12">
        <v>0.3</v>
      </c>
    </row>
    <row r="58" spans="2:4" x14ac:dyDescent="0.25">
      <c r="B58" t="s">
        <v>193</v>
      </c>
      <c r="D58" s="12">
        <v>0.3</v>
      </c>
    </row>
    <row r="59" spans="2:4" x14ac:dyDescent="0.25">
      <c r="B59" t="s">
        <v>194</v>
      </c>
      <c r="D59" s="12">
        <v>0.3</v>
      </c>
    </row>
    <row r="60" spans="2:4" x14ac:dyDescent="0.25">
      <c r="B60" t="s">
        <v>195</v>
      </c>
      <c r="D60" s="25">
        <v>100000</v>
      </c>
    </row>
    <row r="61" spans="2:4" x14ac:dyDescent="0.25">
      <c r="B61" t="s">
        <v>196</v>
      </c>
      <c r="D61" s="25">
        <v>600000</v>
      </c>
    </row>
    <row r="62" spans="2:4" x14ac:dyDescent="0.25">
      <c r="D62" s="25"/>
    </row>
    <row r="63" spans="2:4" x14ac:dyDescent="0.25">
      <c r="B63" s="1" t="s">
        <v>21</v>
      </c>
      <c r="D63" s="25"/>
    </row>
    <row r="64" spans="2:4" x14ac:dyDescent="0.25">
      <c r="B64" t="s">
        <v>197</v>
      </c>
      <c r="D64" s="25">
        <v>2100000</v>
      </c>
    </row>
    <row r="65" spans="2:4" x14ac:dyDescent="0.25">
      <c r="B65" t="s">
        <v>45</v>
      </c>
      <c r="D65" s="25">
        <v>1800000</v>
      </c>
    </row>
    <row r="66" spans="2:4" x14ac:dyDescent="0.25">
      <c r="B66" t="s">
        <v>198</v>
      </c>
      <c r="D66" s="25">
        <v>100000</v>
      </c>
    </row>
    <row r="67" spans="2:4" x14ac:dyDescent="0.25">
      <c r="B67" t="s">
        <v>47</v>
      </c>
      <c r="D67" s="25">
        <v>400000</v>
      </c>
    </row>
    <row r="68" spans="2:4" x14ac:dyDescent="0.25">
      <c r="B68" t="s">
        <v>199</v>
      </c>
      <c r="D68" s="25">
        <v>500000</v>
      </c>
    </row>
    <row r="69" spans="2:4" x14ac:dyDescent="0.25">
      <c r="B69" t="s">
        <v>200</v>
      </c>
      <c r="D69" s="25">
        <v>25000</v>
      </c>
    </row>
    <row r="70" spans="2:4" x14ac:dyDescent="0.25">
      <c r="B70" t="s">
        <v>201</v>
      </c>
      <c r="D70" s="12">
        <v>0.02</v>
      </c>
    </row>
    <row r="71" spans="2:4" x14ac:dyDescent="0.25">
      <c r="B71" t="s">
        <v>202</v>
      </c>
    </row>
    <row r="73" spans="2:4" x14ac:dyDescent="0.25">
      <c r="B73" s="1" t="s">
        <v>51</v>
      </c>
    </row>
    <row r="74" spans="2:4" x14ac:dyDescent="0.25">
      <c r="B74" t="s">
        <v>203</v>
      </c>
    </row>
    <row r="75" spans="2:4" x14ac:dyDescent="0.25">
      <c r="B75" t="s">
        <v>204</v>
      </c>
      <c r="D75" s="12">
        <v>0.05</v>
      </c>
    </row>
    <row r="76" spans="2:4" x14ac:dyDescent="0.25">
      <c r="B76" t="s">
        <v>214</v>
      </c>
      <c r="D76" s="12">
        <v>0.1</v>
      </c>
    </row>
    <row r="77" spans="2:4" x14ac:dyDescent="0.25">
      <c r="B77" t="s">
        <v>77</v>
      </c>
    </row>
    <row r="79" spans="2:4" x14ac:dyDescent="0.25">
      <c r="B79" s="1" t="s">
        <v>205</v>
      </c>
    </row>
    <row r="80" spans="2:4" x14ac:dyDescent="0.25">
      <c r="B80" t="s">
        <v>206</v>
      </c>
      <c r="D80">
        <v>0.1</v>
      </c>
    </row>
    <row r="81" spans="2:9" x14ac:dyDescent="0.25">
      <c r="B81" t="s">
        <v>207</v>
      </c>
      <c r="D81" s="23">
        <v>0.2</v>
      </c>
      <c r="E81" t="s">
        <v>224</v>
      </c>
    </row>
    <row r="83" spans="2:9" x14ac:dyDescent="0.25">
      <c r="B83" s="1" t="s">
        <v>208</v>
      </c>
    </row>
    <row r="84" spans="2:9" x14ac:dyDescent="0.25">
      <c r="B84" t="s">
        <v>213</v>
      </c>
      <c r="D84">
        <v>0.25</v>
      </c>
    </row>
    <row r="85" spans="2:9" x14ac:dyDescent="0.25">
      <c r="B85" t="s">
        <v>209</v>
      </c>
      <c r="D85">
        <v>7.0000000000000007E-2</v>
      </c>
    </row>
    <row r="86" spans="2:9" x14ac:dyDescent="0.25">
      <c r="B86" t="s">
        <v>210</v>
      </c>
      <c r="D86">
        <v>0.26750000000000002</v>
      </c>
    </row>
    <row r="87" spans="2:9" x14ac:dyDescent="0.25">
      <c r="B87" t="s">
        <v>211</v>
      </c>
      <c r="D87">
        <v>0.04</v>
      </c>
    </row>
    <row r="88" spans="2:9" x14ac:dyDescent="0.25">
      <c r="B88" t="s">
        <v>212</v>
      </c>
      <c r="D88">
        <v>0.2782</v>
      </c>
    </row>
    <row r="90" spans="2:9" x14ac:dyDescent="0.25">
      <c r="B90" s="1" t="s">
        <v>218</v>
      </c>
      <c r="D90">
        <v>0.65</v>
      </c>
    </row>
    <row r="91" spans="2:9" x14ac:dyDescent="0.25">
      <c r="B91" t="s">
        <v>219</v>
      </c>
      <c r="D91">
        <v>0.34</v>
      </c>
      <c r="E91">
        <v>0.3</v>
      </c>
      <c r="F91">
        <v>0.26</v>
      </c>
      <c r="G91">
        <v>0.22</v>
      </c>
      <c r="H91">
        <v>0.18</v>
      </c>
      <c r="I91">
        <v>0.15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 Flow</vt:lpstr>
      <vt:lpstr>Reserves</vt:lpstr>
      <vt:lpstr>Revene &amp; Cost Sheet</vt:lpstr>
      <vt:lpstr>Fixed Asset Schedule</vt:lpstr>
      <vt:lpstr>Financial Assumptions</vt:lpstr>
      <vt:lpstr>Working Capital</vt:lpstr>
      <vt:lpstr>Operating Assumtions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Sharma_ABS</dc:creator>
  <cp:lastModifiedBy>Riya Sharma_ABS</cp:lastModifiedBy>
  <dcterms:created xsi:type="dcterms:W3CDTF">2026-06-29T06:09:47Z</dcterms:created>
  <dcterms:modified xsi:type="dcterms:W3CDTF">2026-09-10T12:12:33Z</dcterms:modified>
</cp:coreProperties>
</file>